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harts/chart1.xml" ContentType="application/vnd.openxmlformats-officedocument.drawingml.chart+xml"/>
  <Override PartName="/xl/drawings/drawing2.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ichael\GitDir\Budget\"/>
    </mc:Choice>
  </mc:AlternateContent>
  <bookViews>
    <workbookView xWindow="23535" yWindow="0" windowWidth="21600" windowHeight="10320" activeTab="2"/>
  </bookViews>
  <sheets>
    <sheet name="Notes" sheetId="4" r:id="rId1"/>
    <sheet name="Charts" sheetId="5" r:id="rId2"/>
    <sheet name="Key" sheetId="2" r:id="rId3"/>
    <sheet name="Data" sheetId="3" r:id="rId4"/>
  </sheets>
  <functionGroups builtInGroupCount="18"/>
  <definedNames>
    <definedName name="Categories">OFFSET(Key!$K$1,,,COUNTA(Key!$K$1:$K$200)+COUNT(Key!$K$1:$K$200),)</definedName>
  </definedNames>
  <calcPr calcId="152511"/>
</workbook>
</file>

<file path=xl/calcChain.xml><?xml version="1.0" encoding="utf-8"?>
<calcChain xmlns="http://schemas.openxmlformats.org/spreadsheetml/2006/main">
  <c r="A2" i="3" l="1"/>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alcChain>
</file>

<file path=xl/sharedStrings.xml><?xml version="1.0" encoding="utf-8"?>
<sst xmlns="http://schemas.openxmlformats.org/spreadsheetml/2006/main" count="477" uniqueCount="154">
  <si>
    <t>Notes</t>
  </si>
  <si>
    <t>Keyword</t>
  </si>
  <si>
    <t>Category</t>
  </si>
  <si>
    <t>Sub-category</t>
  </si>
  <si>
    <t>Recurring?</t>
  </si>
  <si>
    <t xml:space="preserve"> </t>
  </si>
  <si>
    <t>GOODWILL 05/31 #000042135 PURCHASE GOODWILL ATLANTA GA</t>
  </si>
  <si>
    <t>Gas</t>
  </si>
  <si>
    <t>Laundry</t>
  </si>
  <si>
    <t>Food</t>
  </si>
  <si>
    <t>Income</t>
  </si>
  <si>
    <t>Expense</t>
  </si>
  <si>
    <t>Insurance</t>
  </si>
  <si>
    <t xml:space="preserve"> - check to see if any keyword detects two transactions at time of creation/edit</t>
  </si>
  <si>
    <t xml:space="preserve"> - add apply keywords function to get statement button to eliminate button press</t>
  </si>
  <si>
    <t xml:space="preserve">QUIKTRIP </t>
  </si>
  <si>
    <t>Groceries</t>
  </si>
  <si>
    <t>Misc</t>
  </si>
  <si>
    <t>Vehicles</t>
  </si>
  <si>
    <t>Tests</t>
  </si>
  <si>
    <t xml:space="preserve"> - try to make category or subcategory blank, see if it affects other processes</t>
  </si>
  <si>
    <t>Savings</t>
  </si>
  <si>
    <t xml:space="preserve">KROGER </t>
  </si>
  <si>
    <t>Automatic</t>
  </si>
  <si>
    <t xml:space="preserve"> - when new subcategory is added, then subcategory is changed without leaving userform, the new subcategory is not selectable until userform is closed and reopened. Update source when new subcategory is created.</t>
  </si>
  <si>
    <t>Outstanding Bugs</t>
  </si>
  <si>
    <t xml:space="preserve"> - Remove category and subcategory from keyword : Reenter edit menu : look at subcategory combobox options, should see " - invalid category - " : delete "Choose Category" from category combobox -&gt; should see " - choose category - " alone, instead see both " - choose category - " and " - invalid category - "</t>
  </si>
  <si>
    <t xml:space="preserve"> - newkeyworduserform does not handle typed combobox input like editkeyworduserform. Typing random string causes error, choosing category then deleting does not lead to " - choose category - " combobox option, etc.</t>
  </si>
  <si>
    <t>Entertainment</t>
  </si>
  <si>
    <t xml:space="preserve"> - automatically check "recurring?" if RECURRING at the end of transaction</t>
  </si>
  <si>
    <t xml:space="preserve"> - predict keywords, edit only if necessary</t>
  </si>
  <si>
    <t xml:space="preserve"> - deleting from the top row of categories causes issues. Fix or disallow.</t>
  </si>
  <si>
    <t xml:space="preserve"> - if you make a new subcategory when categoy field is empty or any string that is not a category, error is thrown.</t>
  </si>
  <si>
    <t xml:space="preserve"> - in newkeyworduserform and editkeyworduserform, if user picks a category, then edits the subcategory to something that doesn't exists and chooses "ok", userform reloads with origional category selection, not new one. Fix this.</t>
  </si>
  <si>
    <t xml:space="preserve"> - (with below) when user types something into a EditKeywordUserForm combobox that doesn't exist, instead of error message, ask user if he wants to add it as a new category/subcategory</t>
  </si>
  <si>
    <t xml:space="preserve">GEICO </t>
  </si>
  <si>
    <t xml:space="preserve"> - editkeyworduserform : choose category and subcategory : choose a different category that doesn't have a subcategory -&gt; subcategorycombobox doesn't go blank like it should.</t>
  </si>
  <si>
    <t>Fast food</t>
  </si>
  <si>
    <t xml:space="preserve">TACO BELL </t>
  </si>
  <si>
    <t xml:space="preserve"> - add a notes section for transactions</t>
  </si>
  <si>
    <t>Apartment</t>
  </si>
  <si>
    <t>Rent</t>
  </si>
  <si>
    <t xml:space="preserve">*LUCKYBRANDD </t>
  </si>
  <si>
    <t>Clothes</t>
  </si>
  <si>
    <t>Necessities</t>
  </si>
  <si>
    <t>Eat-out</t>
  </si>
  <si>
    <t xml:space="preserve">JIMMY JOHNS </t>
  </si>
  <si>
    <t xml:space="preserve">*AMERICANEAG </t>
  </si>
  <si>
    <t xml:space="preserve">COMCAST CABLE </t>
  </si>
  <si>
    <t>Internet</t>
  </si>
  <si>
    <t xml:space="preserve">BUCKHEAD PIZZA CO. </t>
  </si>
  <si>
    <t xml:space="preserve">PUBLIX </t>
  </si>
  <si>
    <t xml:space="preserve">TAQUERIA MICHOACAN </t>
  </si>
  <si>
    <t xml:space="preserve">QT </t>
  </si>
  <si>
    <t>Eve</t>
  </si>
  <si>
    <t>X</t>
  </si>
  <si>
    <t xml:space="preserve">EVE ONLINE </t>
  </si>
  <si>
    <t xml:space="preserve"> - organize keywords by category/subcategory or alphabetically</t>
  </si>
  <si>
    <t>Subscriptions</t>
  </si>
  <si>
    <t xml:space="preserve">*MICROSOFTCO </t>
  </si>
  <si>
    <t>Bar</t>
  </si>
  <si>
    <t xml:space="preserve">STILL WATER TAPROOM </t>
  </si>
  <si>
    <t xml:space="preserve">THE LOFT </t>
  </si>
  <si>
    <t xml:space="preserve">THE PIZZA JOINT </t>
  </si>
  <si>
    <t xml:space="preserve">ZAXBY'S </t>
  </si>
  <si>
    <t xml:space="preserve">BP </t>
  </si>
  <si>
    <t xml:space="preserve">MAC'S BEER </t>
  </si>
  <si>
    <t xml:space="preserve">EDDIEBAUER.COM </t>
  </si>
  <si>
    <t xml:space="preserve">SHELL </t>
  </si>
  <si>
    <t>Public transit</t>
  </si>
  <si>
    <t xml:space="preserve">MARTA </t>
  </si>
  <si>
    <t xml:space="preserve"> - when any changes are made to keywords, check to see if they cover transactions already covered by a keyword</t>
  </si>
  <si>
    <t xml:space="preserve"> - alphabetize category  and subcategory lists</t>
  </si>
  <si>
    <t>CUSTOM</t>
  </si>
  <si>
    <t>Furniture</t>
  </si>
  <si>
    <t>Withdrawl fee</t>
  </si>
  <si>
    <t xml:space="preserve">CHANGE POINT LAUNDRY </t>
  </si>
  <si>
    <t xml:space="preserve">CAFE AGORA </t>
  </si>
  <si>
    <t xml:space="preserve">CHIN CHIN CHINESE </t>
  </si>
  <si>
    <t>Gaming</t>
  </si>
  <si>
    <t>Refund for Games</t>
  </si>
  <si>
    <t>Microsoft Office</t>
  </si>
  <si>
    <t>Joe's Birthday</t>
  </si>
  <si>
    <t xml:space="preserve"> - change keyword searching to strip whitespace from the beginning and end when entered, then add it back in before search.</t>
  </si>
  <si>
    <t>Water bill</t>
  </si>
  <si>
    <t>Electric bill</t>
  </si>
  <si>
    <t>Renter's Insurance</t>
  </si>
  <si>
    <t>Beer</t>
  </si>
  <si>
    <t xml:space="preserve"> - make tab button function correctly in userforms</t>
  </si>
  <si>
    <t xml:space="preserve">KEEP THE CHANGE </t>
  </si>
  <si>
    <t>Computer</t>
  </si>
  <si>
    <t xml:space="preserve"> - in Charts sheet, click on category in column to show graph of subcategories of that category</t>
  </si>
  <si>
    <t xml:space="preserve">CHECKCARD 0531 TACO BELL ATLANTA GA </t>
  </si>
  <si>
    <t>~GOODWILL 05/31 PURCHASE GOODWILL ATLANTA GA</t>
  </si>
  <si>
    <t>QUIKTRIP 05/31 PURCHASE QUIKTRIP ATLANTA GA</t>
  </si>
  <si>
    <t>KEEP THE CHANGE TRANSFER TO ACCT FOR 06/02/14</t>
  </si>
  <si>
    <t>CHECKCARD 0602 PAYPAL *LUCKYBRANDD 402-935-7733 CA</t>
  </si>
  <si>
    <t xml:space="preserve">CHECKCARD 0601 CHANGE POINT LAUNDRY PY LITHIA SPRINGGA </t>
  </si>
  <si>
    <t>KEEP THE CHANGE TRANSFER TO ACCT  FOR 06/03/14</t>
  </si>
  <si>
    <t xml:space="preserve">CHECKCARD 0602 CAFE AGORA INC ATLANTA GA </t>
  </si>
  <si>
    <t xml:space="preserve">CHECKCARD 0603 JIMMY JOHNS ATLANTA GA </t>
  </si>
  <si>
    <t xml:space="preserve">CHECKCARD 0604 PAYPAL *AMERICANEAG 402-935-7733 PA </t>
  </si>
  <si>
    <t xml:space="preserve">CHECKCARD 0605 COMCAST CABLE COMM 800-COMCAST CA </t>
  </si>
  <si>
    <t>KEEP THE CHANGE TRANSFER TO ACCT FOR 06/05/14</t>
  </si>
  <si>
    <t>CHECKCARD 0605 BUCKHEAD PIZZA CO. ATLANTA GA</t>
  </si>
  <si>
    <t>PUBLIX SUPER M 06/07 PURCHASE ATLANTA GA</t>
  </si>
  <si>
    <t>CHECKCARD 0608 PAYPAL *LUCKYBRANDD 402-935-7733 CA</t>
  </si>
  <si>
    <t>CHECKCARD 0608 TAQUERIA MICHOACAN ATLANTA GA</t>
  </si>
  <si>
    <t>KEEP THE CHANGE TRANSFER TO ACCT FOR 06/09/14</t>
  </si>
  <si>
    <t>CHECKCARD 0608 QT ATLANTA GA</t>
  </si>
  <si>
    <t>KEEP THE CHANGE TRANSFER TO ACCT FOR 06/10/14</t>
  </si>
  <si>
    <t>CHECKCARD 0609 CHIN CHIN CHINESE RESTA ATLANTA GA</t>
  </si>
  <si>
    <t>CHECKCARD 0611 EVE ONLINE SLOUGH</t>
  </si>
  <si>
    <t xml:space="preserve">CHECKCARD 0613 TEXACO ATLANTA GA </t>
  </si>
  <si>
    <t>CHECKCARD 0611 EVE ONLINE SLOUGH INTERNATIONAL TRANSACTION FEE</t>
  </si>
  <si>
    <t>KEEP THE CHANGE TRANSFER TO ACCT FOR 06/13/14</t>
  </si>
  <si>
    <t>~CHECKCARD 0613 Amazon.com AMZN.COM/BILLWA</t>
  </si>
  <si>
    <t>CHECKCARD 0613 PAYPAL *MICROSOFTCO 402-935-7733 WA RECURRING</t>
  </si>
  <si>
    <t xml:space="preserve">~CHECKCARD 0613 Amazon.com AMZN.COM/BILLWA </t>
  </si>
  <si>
    <t xml:space="preserve">CHECKCARD 0613 TACO BELL ATLANTA GA </t>
  </si>
  <si>
    <t>CHECKCARD 0613 STILL WATER TAPROOM AUGUSTA GA</t>
  </si>
  <si>
    <t>CHECKCARD 0614 THE LOFT AUGUSTA AUGUSTA GA</t>
  </si>
  <si>
    <t>CHECKCARD 0614 THE PIZZA JOINT EVANS EVANS GA</t>
  </si>
  <si>
    <t>KEEP THE CHANGE TRANSFER TO ACCT FOR 06/16/14</t>
  </si>
  <si>
    <t>CHECKCARD 0615 ZAXBY'S EVAN GA</t>
  </si>
  <si>
    <t>CHECKCARD 0616 CRAWFORDVILLE BP FM CRAWFORDVILLEGA</t>
  </si>
  <si>
    <t>KEEP THE CHANGE TRANSFER TO ACCT FOR 06/17/14</t>
  </si>
  <si>
    <t>CHECKCARD 0617 THE PIZZA JOINT EVANS EVANS GA</t>
  </si>
  <si>
    <t>KEEP THE CHANGE TRANSFER TO ACCT FOR 06/18/14</t>
  </si>
  <si>
    <t>CHECKCARD 0618 CAFE AGORA INC ATLANTA GA</t>
  </si>
  <si>
    <t>MAC'S BEER AND 06/20 PURCHASE MAC'S BEER AND ATLANTA GA</t>
  </si>
  <si>
    <t>KEEP THE CHANGE TRANSFER TO ACCT FOR 06/20/14</t>
  </si>
  <si>
    <t>CHECKCARD 0620 JIMMY JOHNS ATLANTA GA</t>
  </si>
  <si>
    <t>KEEP THE CHANGE TRANSFER TO ACCT FOR 06/23/14</t>
  </si>
  <si>
    <t>CHECKCARD 0625 PAYPAL *AMERICANEAG 402-935-7733 PA</t>
  </si>
  <si>
    <t>CHECKCARD 0625 EDDIEBAUER.COM 800-426-6253 WA</t>
  </si>
  <si>
    <t>KEEP THE CHANGE TRANSFER TO ACCT FOR 06/26/14</t>
  </si>
  <si>
    <t>CHECKCARD 0625 TACO BELL ATLANTA GA</t>
  </si>
  <si>
    <t>SHELL Service 06/27 PURCHASE SHELL Service S ATLANTA GA</t>
  </si>
  <si>
    <t>KROGER 3871 06/27 PURCHASE KROGER ATLANTA GA</t>
  </si>
  <si>
    <t>KEEP THE CHANGE TRANSFER TO ACCT FOR 06/27/14</t>
  </si>
  <si>
    <t>CHECKCARD 0627 CHANGE POINT LAUNDRY PY LITHIA SPRINGGA</t>
  </si>
  <si>
    <t>MARTA 06/28 PURCHASE MARTA Atlanta GA</t>
  </si>
  <si>
    <t>KEEP THE CHANGE TRANSFER TO ACCT FOR 06/30/14</t>
  </si>
  <si>
    <t>~GAMESTOP 06/16 PURCHASE GAMESTOP AUGUSTA GA</t>
  </si>
  <si>
    <t xml:space="preserve">TEXACO </t>
  </si>
  <si>
    <t xml:space="preserve"> - deleting category throws warning</t>
  </si>
  <si>
    <t>Add</t>
  </si>
  <si>
    <t xml:space="preserve"> - when refreshing chart, check if there are unlabeled transactions</t>
  </si>
  <si>
    <t xml:space="preserve"> - delete stmt file after it's added?</t>
  </si>
  <si>
    <t xml:space="preserve"> - when clicking on a category on bar to left, add button to find in columns to right OR set it up so that you click on a category in the list, and all subcategories appear in a box to the right</t>
  </si>
  <si>
    <t xml:space="preserve"> - boundary testing</t>
  </si>
  <si>
    <t>&lt;- this column is only for this sample transaction page</t>
  </si>
  <si>
    <t xml:space="preserve"> - update chart automatically (instead of using the button) when fields are changed as long as it's still quick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</si>
</sst>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1">
    <xf numFmtId="0" fontId="0" fillId="0" borderId="0" xfId="0"/>
    <xf numFmtId="0" fontId="0" fillId="0" borderId="10" xfId="0" applyBorder="1"/>
    <xf numFmtId="0" fontId="0" fillId="0" borderId="10" xfId="0" applyBorder="1" applyAlignment="1">
      <alignment horizontal="center"/>
    </xf>
    <xf numFmtId="0" fontId="0" fillId="0" borderId="0" xfId="0" applyAlignment="1">
      <alignment horizontal="center"/>
    </xf>
    <xf numFmtId="0" fontId="16" fillId="0" borderId="0" xfId="0" applyFont="1"/>
    <xf numFmtId="0" fontId="0" fillId="0" borderId="0" xfId="0" applyFill="1"/>
    <xf numFmtId="14" fontId="0" fillId="0" borderId="0" xfId="0" applyNumberFormat="1" applyFill="1"/>
    <xf numFmtId="0" fontId="0" fillId="0" borderId="0" xfId="0" applyFill="1" applyAlignment="1">
      <alignment horizontal="center"/>
    </xf>
    <xf numFmtId="0" fontId="0" fillId="0" borderId="0" xfId="0" applyFill="1" applyBorder="1"/>
    <xf numFmtId="164" fontId="0" fillId="0" borderId="0" xfId="0" applyNumberFormat="1"/>
    <xf numFmtId="14"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ill>
        <patternFill>
          <bgColor rgb="FFFF0000"/>
        </patternFill>
      </fill>
    </dxf>
    <dxf>
      <fill>
        <patternFill>
          <bgColor rgb="FFFF0000"/>
        </patternFill>
      </fill>
    </dxf>
  </dxfs>
  <tableStyles count="0" defaultTableStyle="TableStyleMedium2" defaultPivotStyle="PivotStyleLight16"/>
  <colors>
    <mruColors>
      <color rgb="FFFF8585"/>
      <color rgb="FFF55D59"/>
      <color rgb="FFFFFF99"/>
      <color rgb="FFFFFFCC"/>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quot;$&quot;#,##0.00" sourceLinked="0"/>
            <c:spPr>
              <a:noFill/>
              <a:ln>
                <a:noFill/>
              </a:ln>
              <a:effectLst/>
            </c:spPr>
            <c:showLegendKey val="0"/>
            <c:showVal val="1"/>
            <c:showCatName val="1"/>
            <c:showSerName val="0"/>
            <c:showPercent val="0"/>
            <c:showBubbleSize val="0"/>
            <c:separator>
</c:separator>
            <c:showLeaderLines val="1"/>
            <c:extLst>
              <c:ext xmlns:c15="http://schemas.microsoft.com/office/drawing/2012/chart" uri="{CE6537A1-D6FC-4f65-9D91-7224C49458BB}">
                <c15:layout/>
              </c:ext>
            </c:extLst>
          </c:dLbls>
          <c:cat>
            <c:strLit>
              <c:ptCount val="9"/>
              <c:pt idx="0">
                <c:v>Necessities</c:v>
              </c:pt>
              <c:pt idx="1">
                <c:v>Food</c:v>
              </c:pt>
              <c:pt idx="2">
                <c:v>Vehicles</c:v>
              </c:pt>
              <c:pt idx="3">
                <c:v>Misc</c:v>
              </c:pt>
              <c:pt idx="4">
                <c:v>Apartment</c:v>
              </c:pt>
              <c:pt idx="5">
                <c:v>Entertainment</c:v>
              </c:pt>
              <c:pt idx="6">
                <c:v>Gaming</c:v>
              </c:pt>
              <c:pt idx="7">
                <c:v>Savings</c:v>
              </c:pt>
              <c:pt idx="8">
                <c:v>Subscriptions</c:v>
              </c:pt>
            </c:strLit>
          </c:cat>
          <c:val>
            <c:numLit>
              <c:formatCode>General</c:formatCode>
              <c:ptCount val="9"/>
              <c:pt idx="0">
                <c:v>506.75</c:v>
              </c:pt>
              <c:pt idx="1">
                <c:v>284.04000000000002</c:v>
              </c:pt>
              <c:pt idx="2">
                <c:v>224.10000000000002</c:v>
              </c:pt>
              <c:pt idx="3">
                <c:v>176</c:v>
              </c:pt>
              <c:pt idx="4">
                <c:v>155.24</c:v>
              </c:pt>
              <c:pt idx="5">
                <c:v>58.79</c:v>
              </c:pt>
              <c:pt idx="6">
                <c:v>40.020000000000003</c:v>
              </c:pt>
              <c:pt idx="7">
                <c:v>18.09</c:v>
              </c:pt>
              <c:pt idx="8">
                <c:v>9.99</c:v>
              </c:pt>
            </c:numLit>
          </c:val>
        </c:ser>
        <c:dLbls>
          <c:showLegendKey val="0"/>
          <c:showVal val="0"/>
          <c:showCatName val="0"/>
          <c:showSerName val="0"/>
          <c:showPercent val="0"/>
          <c:showBubbleSize val="0"/>
          <c:showLeaderLines val="1"/>
        </c:dLbls>
        <c:firstSliceAng val="270"/>
      </c:pieChart>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1.emf"/><Relationship Id="rId1" Type="http://schemas.openxmlformats.org/officeDocument/2006/relationships/image" Target="../media/image2.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209550</xdr:colOff>
          <xdr:row>0</xdr:row>
          <xdr:rowOff>190500</xdr:rowOff>
        </xdr:from>
        <xdr:to>
          <xdr:col>1</xdr:col>
          <xdr:colOff>428625</xdr:colOff>
          <xdr:row>3</xdr:row>
          <xdr:rowOff>104775</xdr:rowOff>
        </xdr:to>
        <xdr:sp macro="" textlink="">
          <xdr:nvSpPr>
            <xdr:cNvPr id="1025" name="sortButton"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1</xdr:row>
          <xdr:rowOff>19050</xdr:rowOff>
        </xdr:from>
        <xdr:to>
          <xdr:col>6</xdr:col>
          <xdr:colOff>295275</xdr:colOff>
          <xdr:row>2</xdr:row>
          <xdr:rowOff>66675</xdr:rowOff>
        </xdr:to>
        <xdr:sp macro="" textlink="">
          <xdr:nvSpPr>
            <xdr:cNvPr id="1026" name="timePeriodsCombobox"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66675</xdr:rowOff>
        </xdr:from>
        <xdr:to>
          <xdr:col>5</xdr:col>
          <xdr:colOff>266700</xdr:colOff>
          <xdr:row>4</xdr:row>
          <xdr:rowOff>104775</xdr:rowOff>
        </xdr:to>
        <xdr:sp macro="" textlink="">
          <xdr:nvSpPr>
            <xdr:cNvPr id="1027" name="weekTextBox"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3</xdr:row>
          <xdr:rowOff>85725</xdr:rowOff>
        </xdr:from>
        <xdr:to>
          <xdr:col>4</xdr:col>
          <xdr:colOff>533400</xdr:colOff>
          <xdr:row>4</xdr:row>
          <xdr:rowOff>123825</xdr:rowOff>
        </xdr:to>
        <xdr:sp macro="" textlink="">
          <xdr:nvSpPr>
            <xdr:cNvPr id="1028" name="Label1"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323850</xdr:colOff>
          <xdr:row>3</xdr:row>
          <xdr:rowOff>85725</xdr:rowOff>
        </xdr:from>
        <xdr:to>
          <xdr:col>6</xdr:col>
          <xdr:colOff>161925</xdr:colOff>
          <xdr:row>4</xdr:row>
          <xdr:rowOff>123825</xdr:rowOff>
        </xdr:to>
        <xdr:sp macro="" textlink="">
          <xdr:nvSpPr>
            <xdr:cNvPr id="1030" name="Label2"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0</xdr:rowOff>
        </xdr:from>
        <xdr:to>
          <xdr:col>5</xdr:col>
          <xdr:colOff>257175</xdr:colOff>
          <xdr:row>6</xdr:row>
          <xdr:rowOff>38100</xdr:rowOff>
        </xdr:to>
        <xdr:sp macro="" textlink="">
          <xdr:nvSpPr>
            <xdr:cNvPr id="1031" name="monthTextBox"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5</xdr:row>
          <xdr:rowOff>19050</xdr:rowOff>
        </xdr:from>
        <xdr:to>
          <xdr:col>4</xdr:col>
          <xdr:colOff>523875</xdr:colOff>
          <xdr:row>6</xdr:row>
          <xdr:rowOff>57150</xdr:rowOff>
        </xdr:to>
        <xdr:sp macro="" textlink="">
          <xdr:nvSpPr>
            <xdr:cNvPr id="1032" name="Label3"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5</xdr:row>
          <xdr:rowOff>19050</xdr:rowOff>
        </xdr:from>
        <xdr:to>
          <xdr:col>6</xdr:col>
          <xdr:colOff>209550</xdr:colOff>
          <xdr:row>6</xdr:row>
          <xdr:rowOff>57150</xdr:rowOff>
        </xdr:to>
        <xdr:sp macro="" textlink="">
          <xdr:nvSpPr>
            <xdr:cNvPr id="1033" name="Label4"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161925</xdr:rowOff>
        </xdr:from>
        <xdr:to>
          <xdr:col>5</xdr:col>
          <xdr:colOff>333375</xdr:colOff>
          <xdr:row>10</xdr:row>
          <xdr:rowOff>9525</xdr:rowOff>
        </xdr:to>
        <xdr:sp macro="" textlink="">
          <xdr:nvSpPr>
            <xdr:cNvPr id="1034" name="TextBox3"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7</xdr:row>
          <xdr:rowOff>95250</xdr:rowOff>
        </xdr:from>
        <xdr:to>
          <xdr:col>6</xdr:col>
          <xdr:colOff>466725</xdr:colOff>
          <xdr:row>8</xdr:row>
          <xdr:rowOff>133350</xdr:rowOff>
        </xdr:to>
        <xdr:sp macro="" textlink="">
          <xdr:nvSpPr>
            <xdr:cNvPr id="1035" name="Label5"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10</xdr:row>
          <xdr:rowOff>57150</xdr:rowOff>
        </xdr:from>
        <xdr:to>
          <xdr:col>6</xdr:col>
          <xdr:colOff>114300</xdr:colOff>
          <xdr:row>11</xdr:row>
          <xdr:rowOff>95250</xdr:rowOff>
        </xdr:to>
        <xdr:sp macro="" textlink="">
          <xdr:nvSpPr>
            <xdr:cNvPr id="1036" name="Label6"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15</xdr:row>
          <xdr:rowOff>57150</xdr:rowOff>
        </xdr:from>
        <xdr:to>
          <xdr:col>6</xdr:col>
          <xdr:colOff>38100</xdr:colOff>
          <xdr:row>16</xdr:row>
          <xdr:rowOff>171450</xdr:rowOff>
        </xdr:to>
        <xdr:sp macro="" textlink="">
          <xdr:nvSpPr>
            <xdr:cNvPr id="1038" name="updateChartButton"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12</xdr:row>
          <xdr:rowOff>0</xdr:rowOff>
        </xdr:from>
        <xdr:to>
          <xdr:col>6</xdr:col>
          <xdr:colOff>476250</xdr:colOff>
          <xdr:row>14</xdr:row>
          <xdr:rowOff>57150</xdr:rowOff>
        </xdr:to>
        <xdr:sp macro="" textlink="">
          <xdr:nvSpPr>
            <xdr:cNvPr id="1039" name="CheckBox1"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1</xdr:row>
      <xdr:rowOff>0</xdr:rowOff>
    </xdr:from>
    <xdr:to>
      <xdr:col>19</xdr:col>
      <xdr:colOff>0</xdr:colOff>
      <xdr:row>25</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76200</xdr:colOff>
          <xdr:row>4</xdr:row>
          <xdr:rowOff>0</xdr:rowOff>
        </xdr:from>
        <xdr:to>
          <xdr:col>7</xdr:col>
          <xdr:colOff>542925</xdr:colOff>
          <xdr:row>5</xdr:row>
          <xdr:rowOff>114300</xdr:rowOff>
        </xdr:to>
        <xdr:sp macro="" textlink="">
          <xdr:nvSpPr>
            <xdr:cNvPr id="2049" name="applyButton"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6</xdr:row>
          <xdr:rowOff>0</xdr:rowOff>
        </xdr:from>
        <xdr:to>
          <xdr:col>7</xdr:col>
          <xdr:colOff>542925</xdr:colOff>
          <xdr:row>7</xdr:row>
          <xdr:rowOff>114300</xdr:rowOff>
        </xdr:to>
        <xdr:sp macro="" textlink="">
          <xdr:nvSpPr>
            <xdr:cNvPr id="2050" name="resetButt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xdr:row>
          <xdr:rowOff>171450</xdr:rowOff>
        </xdr:from>
        <xdr:to>
          <xdr:col>7</xdr:col>
          <xdr:colOff>542925</xdr:colOff>
          <xdr:row>3</xdr:row>
          <xdr:rowOff>95250</xdr:rowOff>
        </xdr:to>
        <xdr:sp macro="" textlink="">
          <xdr:nvSpPr>
            <xdr:cNvPr id="2052" name="statementButton"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image" Target="../media/image11.emf"/><Relationship Id="rId3" Type="http://schemas.openxmlformats.org/officeDocument/2006/relationships/vmlDrawing" Target="../drawings/vmlDrawing1.vml"/><Relationship Id="rId21" Type="http://schemas.openxmlformats.org/officeDocument/2006/relationships/control" Target="../activeX/activeX10.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2.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image" Target="../media/image10.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ontrol" Target="../activeX/activeX11.xml"/><Relationship Id="rId28" Type="http://schemas.openxmlformats.org/officeDocument/2006/relationships/image" Target="../media/image12.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image" Target="../media/image9.emf"/><Relationship Id="rId27" Type="http://schemas.openxmlformats.org/officeDocument/2006/relationships/control" Target="../activeX/activeX13.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2.vml"/><Relationship Id="rId7" Type="http://schemas.openxmlformats.org/officeDocument/2006/relationships/image" Target="../media/image1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15.xml"/><Relationship Id="rId5" Type="http://schemas.openxmlformats.org/officeDocument/2006/relationships/image" Target="../media/image13.emf"/><Relationship Id="rId4" Type="http://schemas.openxmlformats.org/officeDocument/2006/relationships/control" Target="../activeX/activeX14.xml"/><Relationship Id="rId9" Type="http://schemas.openxmlformats.org/officeDocument/2006/relationships/image" Target="../media/image15.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2"/>
  <sheetViews>
    <sheetView workbookViewId="0">
      <selection activeCell="F15" sqref="F15"/>
    </sheetView>
  </sheetViews>
  <sheetFormatPr defaultRowHeight="15" x14ac:dyDescent="0.25"/>
  <sheetData>
    <row r="1" spans="1:1" x14ac:dyDescent="0.25">
      <c r="A1" s="1" t="s">
        <v>147</v>
      </c>
    </row>
    <row r="2" spans="1:1" x14ac:dyDescent="0.25">
      <c r="A2" t="s">
        <v>14</v>
      </c>
    </row>
    <row r="3" spans="1:1" x14ac:dyDescent="0.25">
      <c r="A3" t="s">
        <v>150</v>
      </c>
    </row>
    <row r="4" spans="1:1" x14ac:dyDescent="0.25">
      <c r="A4" t="s">
        <v>91</v>
      </c>
    </row>
    <row r="5" spans="1:1" x14ac:dyDescent="0.25">
      <c r="A5" t="s">
        <v>39</v>
      </c>
    </row>
    <row r="10" spans="1:1" x14ac:dyDescent="0.25">
      <c r="A10" s="1" t="s">
        <v>0</v>
      </c>
    </row>
    <row r="11" spans="1:1" x14ac:dyDescent="0.25">
      <c r="A11" t="s">
        <v>34</v>
      </c>
    </row>
    <row r="12" spans="1:1" x14ac:dyDescent="0.25">
      <c r="A12" t="s">
        <v>72</v>
      </c>
    </row>
    <row r="13" spans="1:1" x14ac:dyDescent="0.25">
      <c r="A13" t="s">
        <v>57</v>
      </c>
    </row>
    <row r="14" spans="1:1" x14ac:dyDescent="0.25">
      <c r="A14" t="s">
        <v>71</v>
      </c>
    </row>
    <row r="15" spans="1:1" x14ac:dyDescent="0.25">
      <c r="A15" t="s">
        <v>29</v>
      </c>
    </row>
    <row r="16" spans="1:1" x14ac:dyDescent="0.25">
      <c r="A16" t="s">
        <v>13</v>
      </c>
    </row>
    <row r="17" spans="1:2" x14ac:dyDescent="0.25">
      <c r="A17" t="s">
        <v>24</v>
      </c>
    </row>
    <row r="18" spans="1:2" x14ac:dyDescent="0.25">
      <c r="A18" t="s">
        <v>83</v>
      </c>
    </row>
    <row r="19" spans="1:2" x14ac:dyDescent="0.25">
      <c r="A19" t="s">
        <v>30</v>
      </c>
    </row>
    <row r="20" spans="1:2" x14ac:dyDescent="0.25">
      <c r="A20" t="s">
        <v>33</v>
      </c>
    </row>
    <row r="21" spans="1:2" x14ac:dyDescent="0.25">
      <c r="A21" t="s">
        <v>88</v>
      </c>
    </row>
    <row r="22" spans="1:2" x14ac:dyDescent="0.25">
      <c r="A22" t="s">
        <v>148</v>
      </c>
    </row>
    <row r="23" spans="1:2" x14ac:dyDescent="0.25">
      <c r="A23" t="s">
        <v>149</v>
      </c>
    </row>
    <row r="24" spans="1:2" x14ac:dyDescent="0.25">
      <c r="A24" t="s">
        <v>153</v>
      </c>
    </row>
    <row r="28" spans="1:2" x14ac:dyDescent="0.25">
      <c r="A28" s="1" t="s">
        <v>25</v>
      </c>
      <c r="B28" s="1"/>
    </row>
    <row r="29" spans="1:2" x14ac:dyDescent="0.25">
      <c r="A29" t="s">
        <v>146</v>
      </c>
    </row>
    <row r="30" spans="1:2" x14ac:dyDescent="0.25">
      <c r="A30" s="8" t="s">
        <v>32</v>
      </c>
    </row>
    <row r="31" spans="1:2" x14ac:dyDescent="0.25">
      <c r="A31" s="8" t="s">
        <v>31</v>
      </c>
    </row>
    <row r="32" spans="1:2" x14ac:dyDescent="0.25">
      <c r="A32" s="8" t="s">
        <v>26</v>
      </c>
    </row>
    <row r="33" spans="1:1" x14ac:dyDescent="0.25">
      <c r="A33" s="8" t="s">
        <v>27</v>
      </c>
    </row>
    <row r="34" spans="1:1" x14ac:dyDescent="0.25">
      <c r="A34" s="8" t="s">
        <v>36</v>
      </c>
    </row>
    <row r="40" spans="1:1" x14ac:dyDescent="0.25">
      <c r="A40" s="1" t="s">
        <v>19</v>
      </c>
    </row>
    <row r="41" spans="1:1" x14ac:dyDescent="0.25">
      <c r="A41" t="s">
        <v>20</v>
      </c>
    </row>
    <row r="42" spans="1:1" x14ac:dyDescent="0.25">
      <c r="A42" t="s">
        <v>151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6"/>
  <sheetViews>
    <sheetView workbookViewId="0">
      <selection activeCell="A12" sqref="A12"/>
    </sheetView>
  </sheetViews>
  <sheetFormatPr defaultRowHeight="15" x14ac:dyDescent="0.25"/>
  <cols>
    <col min="1" max="1" width="9.140625" customWidth="1"/>
  </cols>
  <sheetData>
    <row r="1" spans="1:4" x14ac:dyDescent="0.25">
      <c r="C1" t="s">
        <v>40</v>
      </c>
      <c r="D1" s="9">
        <v>155.24</v>
      </c>
    </row>
    <row r="2" spans="1:4" x14ac:dyDescent="0.25">
      <c r="C2" t="s">
        <v>28</v>
      </c>
      <c r="D2" s="9">
        <v>58.79</v>
      </c>
    </row>
    <row r="3" spans="1:4" x14ac:dyDescent="0.25">
      <c r="C3" t="s">
        <v>9</v>
      </c>
      <c r="D3" s="9">
        <v>284.04000000000002</v>
      </c>
    </row>
    <row r="4" spans="1:4" x14ac:dyDescent="0.25">
      <c r="C4" t="s">
        <v>79</v>
      </c>
      <c r="D4" s="9">
        <v>40.020000000000003</v>
      </c>
    </row>
    <row r="5" spans="1:4" x14ac:dyDescent="0.25">
      <c r="C5" t="s">
        <v>17</v>
      </c>
      <c r="D5" s="9">
        <v>176</v>
      </c>
    </row>
    <row r="6" spans="1:4" x14ac:dyDescent="0.25">
      <c r="C6" t="s">
        <v>44</v>
      </c>
      <c r="D6" s="9">
        <v>506.75</v>
      </c>
    </row>
    <row r="7" spans="1:4" x14ac:dyDescent="0.25">
      <c r="C7" t="s">
        <v>21</v>
      </c>
      <c r="D7" s="9">
        <v>18.09</v>
      </c>
    </row>
    <row r="8" spans="1:4" x14ac:dyDescent="0.25">
      <c r="C8" t="s">
        <v>58</v>
      </c>
      <c r="D8" s="9">
        <v>9.99</v>
      </c>
    </row>
    <row r="9" spans="1:4" x14ac:dyDescent="0.25">
      <c r="C9" t="s">
        <v>18</v>
      </c>
      <c r="D9" s="9">
        <v>224.10000000000002</v>
      </c>
    </row>
    <row r="10" spans="1:4" x14ac:dyDescent="0.25">
      <c r="D10" s="9"/>
    </row>
    <row r="11" spans="1:4" x14ac:dyDescent="0.25">
      <c r="D11" s="9"/>
    </row>
    <row r="12" spans="1:4" x14ac:dyDescent="0.25">
      <c r="D12" s="9"/>
    </row>
    <row r="16" spans="1:4" x14ac:dyDescent="0.25">
      <c r="A16" s="10"/>
    </row>
  </sheetData>
  <sortState ref="C1:D9">
    <sortCondition ref="C1"/>
  </sortState>
  <pageMargins left="0.7" right="0.7" top="0.75" bottom="0.75" header="0.3" footer="0.3"/>
  <pageSetup orientation="portrait" r:id="rId1"/>
  <drawing r:id="rId2"/>
  <legacyDrawing r:id="rId3"/>
  <controls>
    <mc:AlternateContent xmlns:mc="http://schemas.openxmlformats.org/markup-compatibility/2006">
      <mc:Choice Requires="x14">
        <control shapeId="1026" r:id="rId4" name="timePeriodsCombobox">
          <controlPr autoLine="0" autoPict="0" r:id="rId5">
            <anchor moveWithCells="1">
              <from>
                <xdr:col>4</xdr:col>
                <xdr:colOff>209550</xdr:colOff>
                <xdr:row>1</xdr:row>
                <xdr:rowOff>19050</xdr:rowOff>
              </from>
              <to>
                <xdr:col>6</xdr:col>
                <xdr:colOff>295275</xdr:colOff>
                <xdr:row>2</xdr:row>
                <xdr:rowOff>66675</xdr:rowOff>
              </to>
            </anchor>
          </controlPr>
        </control>
      </mc:Choice>
      <mc:Fallback>
        <control shapeId="1026" r:id="rId4" name="timePeriodsCombobox"/>
      </mc:Fallback>
    </mc:AlternateContent>
    <mc:AlternateContent xmlns:mc="http://schemas.openxmlformats.org/markup-compatibility/2006">
      <mc:Choice Requires="x14">
        <control shapeId="1025" r:id="rId6" name="sortButton">
          <controlPr autoLine="0" autoPict="0" r:id="rId7">
            <anchor moveWithCells="1">
              <from>
                <xdr:col>0</xdr:col>
                <xdr:colOff>209550</xdr:colOff>
                <xdr:row>0</xdr:row>
                <xdr:rowOff>190500</xdr:rowOff>
              </from>
              <to>
                <xdr:col>1</xdr:col>
                <xdr:colOff>428625</xdr:colOff>
                <xdr:row>3</xdr:row>
                <xdr:rowOff>104775</xdr:rowOff>
              </to>
            </anchor>
          </controlPr>
        </control>
      </mc:Choice>
      <mc:Fallback>
        <control shapeId="1025" r:id="rId6" name="sortButton"/>
      </mc:Fallback>
    </mc:AlternateContent>
    <mc:AlternateContent xmlns:mc="http://schemas.openxmlformats.org/markup-compatibility/2006">
      <mc:Choice Requires="x14">
        <control shapeId="1027" r:id="rId8" name="weekTextBox">
          <controlPr autoLine="0" autoPict="0" r:id="rId9">
            <anchor moveWithCells="1">
              <from>
                <xdr:col>5</xdr:col>
                <xdr:colOff>9525</xdr:colOff>
                <xdr:row>3</xdr:row>
                <xdr:rowOff>66675</xdr:rowOff>
              </from>
              <to>
                <xdr:col>5</xdr:col>
                <xdr:colOff>266700</xdr:colOff>
                <xdr:row>4</xdr:row>
                <xdr:rowOff>104775</xdr:rowOff>
              </to>
            </anchor>
          </controlPr>
        </control>
      </mc:Choice>
      <mc:Fallback>
        <control shapeId="1027" r:id="rId8" name="weekTextBox"/>
      </mc:Fallback>
    </mc:AlternateContent>
    <mc:AlternateContent xmlns:mc="http://schemas.openxmlformats.org/markup-compatibility/2006">
      <mc:Choice Requires="x14">
        <control shapeId="1028" r:id="rId10" name="Label1">
          <controlPr autoLine="0" r:id="rId11">
            <anchor moveWithCells="1">
              <from>
                <xdr:col>4</xdr:col>
                <xdr:colOff>276225</xdr:colOff>
                <xdr:row>3</xdr:row>
                <xdr:rowOff>85725</xdr:rowOff>
              </from>
              <to>
                <xdr:col>4</xdr:col>
                <xdr:colOff>533400</xdr:colOff>
                <xdr:row>4</xdr:row>
                <xdr:rowOff>123825</xdr:rowOff>
              </to>
            </anchor>
          </controlPr>
        </control>
      </mc:Choice>
      <mc:Fallback>
        <control shapeId="1028" r:id="rId10" name="Label1"/>
      </mc:Fallback>
    </mc:AlternateContent>
    <mc:AlternateContent xmlns:mc="http://schemas.openxmlformats.org/markup-compatibility/2006">
      <mc:Choice Requires="x14">
        <control shapeId="1030" r:id="rId12" name="Label2">
          <controlPr autoLine="0" autoPict="0" r:id="rId13">
            <anchor moveWithCells="1">
              <from>
                <xdr:col>5</xdr:col>
                <xdr:colOff>323850</xdr:colOff>
                <xdr:row>3</xdr:row>
                <xdr:rowOff>85725</xdr:rowOff>
              </from>
              <to>
                <xdr:col>6</xdr:col>
                <xdr:colOff>161925</xdr:colOff>
                <xdr:row>4</xdr:row>
                <xdr:rowOff>123825</xdr:rowOff>
              </to>
            </anchor>
          </controlPr>
        </control>
      </mc:Choice>
      <mc:Fallback>
        <control shapeId="1030" r:id="rId12" name="Label2"/>
      </mc:Fallback>
    </mc:AlternateContent>
    <mc:AlternateContent xmlns:mc="http://schemas.openxmlformats.org/markup-compatibility/2006">
      <mc:Choice Requires="x14">
        <control shapeId="1031" r:id="rId14" name="monthTextBox">
          <controlPr autoLine="0" r:id="rId15">
            <anchor moveWithCells="1">
              <from>
                <xdr:col>5</xdr:col>
                <xdr:colOff>0</xdr:colOff>
                <xdr:row>5</xdr:row>
                <xdr:rowOff>0</xdr:rowOff>
              </from>
              <to>
                <xdr:col>5</xdr:col>
                <xdr:colOff>257175</xdr:colOff>
                <xdr:row>6</xdr:row>
                <xdr:rowOff>38100</xdr:rowOff>
              </to>
            </anchor>
          </controlPr>
        </control>
      </mc:Choice>
      <mc:Fallback>
        <control shapeId="1031" r:id="rId14" name="monthTextBox"/>
      </mc:Fallback>
    </mc:AlternateContent>
    <mc:AlternateContent xmlns:mc="http://schemas.openxmlformats.org/markup-compatibility/2006">
      <mc:Choice Requires="x14">
        <control shapeId="1032" r:id="rId16" name="Label3">
          <controlPr autoLine="0" r:id="rId17">
            <anchor moveWithCells="1">
              <from>
                <xdr:col>4</xdr:col>
                <xdr:colOff>266700</xdr:colOff>
                <xdr:row>5</xdr:row>
                <xdr:rowOff>19050</xdr:rowOff>
              </from>
              <to>
                <xdr:col>4</xdr:col>
                <xdr:colOff>523875</xdr:colOff>
                <xdr:row>6</xdr:row>
                <xdr:rowOff>57150</xdr:rowOff>
              </to>
            </anchor>
          </controlPr>
        </control>
      </mc:Choice>
      <mc:Fallback>
        <control shapeId="1032" r:id="rId16" name="Label3"/>
      </mc:Fallback>
    </mc:AlternateContent>
    <mc:AlternateContent xmlns:mc="http://schemas.openxmlformats.org/markup-compatibility/2006">
      <mc:Choice Requires="x14">
        <control shapeId="1033" r:id="rId18" name="Label4">
          <controlPr autoLine="0" autoPict="0" r:id="rId19">
            <anchor moveWithCells="1">
              <from>
                <xdr:col>5</xdr:col>
                <xdr:colOff>314325</xdr:colOff>
                <xdr:row>5</xdr:row>
                <xdr:rowOff>19050</xdr:rowOff>
              </from>
              <to>
                <xdr:col>6</xdr:col>
                <xdr:colOff>209550</xdr:colOff>
                <xdr:row>6</xdr:row>
                <xdr:rowOff>57150</xdr:rowOff>
              </to>
            </anchor>
          </controlPr>
        </control>
      </mc:Choice>
      <mc:Fallback>
        <control shapeId="1033" r:id="rId18" name="Label4"/>
      </mc:Fallback>
    </mc:AlternateContent>
    <mc:AlternateContent xmlns:mc="http://schemas.openxmlformats.org/markup-compatibility/2006">
      <mc:Choice Requires="x14">
        <control shapeId="1034" r:id="rId20" name="TextBox3">
          <controlPr autoLine="0" r:id="rId9">
            <anchor moveWithCells="1">
              <from>
                <xdr:col>5</xdr:col>
                <xdr:colOff>76200</xdr:colOff>
                <xdr:row>8</xdr:row>
                <xdr:rowOff>161925</xdr:rowOff>
              </from>
              <to>
                <xdr:col>5</xdr:col>
                <xdr:colOff>333375</xdr:colOff>
                <xdr:row>10</xdr:row>
                <xdr:rowOff>9525</xdr:rowOff>
              </to>
            </anchor>
          </controlPr>
        </control>
      </mc:Choice>
      <mc:Fallback>
        <control shapeId="1034" r:id="rId20" name="TextBox3"/>
      </mc:Fallback>
    </mc:AlternateContent>
    <mc:AlternateContent xmlns:mc="http://schemas.openxmlformats.org/markup-compatibility/2006">
      <mc:Choice Requires="x14">
        <control shapeId="1035" r:id="rId21" name="Label5">
          <controlPr autoLine="0" r:id="rId22">
            <anchor moveWithCells="1">
              <from>
                <xdr:col>4</xdr:col>
                <xdr:colOff>161925</xdr:colOff>
                <xdr:row>7</xdr:row>
                <xdr:rowOff>95250</xdr:rowOff>
              </from>
              <to>
                <xdr:col>6</xdr:col>
                <xdr:colOff>466725</xdr:colOff>
                <xdr:row>8</xdr:row>
                <xdr:rowOff>133350</xdr:rowOff>
              </to>
            </anchor>
          </controlPr>
        </control>
      </mc:Choice>
      <mc:Fallback>
        <control shapeId="1035" r:id="rId21" name="Label5"/>
      </mc:Fallback>
    </mc:AlternateContent>
    <mc:AlternateContent xmlns:mc="http://schemas.openxmlformats.org/markup-compatibility/2006">
      <mc:Choice Requires="x14">
        <control shapeId="1036" r:id="rId23" name="Label6">
          <controlPr autoLine="0" r:id="rId24">
            <anchor moveWithCells="1">
              <from>
                <xdr:col>4</xdr:col>
                <xdr:colOff>381000</xdr:colOff>
                <xdr:row>10</xdr:row>
                <xdr:rowOff>57150</xdr:rowOff>
              </from>
              <to>
                <xdr:col>6</xdr:col>
                <xdr:colOff>114300</xdr:colOff>
                <xdr:row>11</xdr:row>
                <xdr:rowOff>95250</xdr:rowOff>
              </to>
            </anchor>
          </controlPr>
        </control>
      </mc:Choice>
      <mc:Fallback>
        <control shapeId="1036" r:id="rId23" name="Label6"/>
      </mc:Fallback>
    </mc:AlternateContent>
    <mc:AlternateContent xmlns:mc="http://schemas.openxmlformats.org/markup-compatibility/2006">
      <mc:Choice Requires="x14">
        <control shapeId="1038" r:id="rId25" name="updateChartButton">
          <controlPr autoLine="0" r:id="rId26">
            <anchor moveWithCells="1">
              <from>
                <xdr:col>4</xdr:col>
                <xdr:colOff>342900</xdr:colOff>
                <xdr:row>15</xdr:row>
                <xdr:rowOff>57150</xdr:rowOff>
              </from>
              <to>
                <xdr:col>6</xdr:col>
                <xdr:colOff>38100</xdr:colOff>
                <xdr:row>16</xdr:row>
                <xdr:rowOff>171450</xdr:rowOff>
              </to>
            </anchor>
          </controlPr>
        </control>
      </mc:Choice>
      <mc:Fallback>
        <control shapeId="1038" r:id="rId25" name="updateChartButton"/>
      </mc:Fallback>
    </mc:AlternateContent>
    <mc:AlternateContent xmlns:mc="http://schemas.openxmlformats.org/markup-compatibility/2006">
      <mc:Choice Requires="x14">
        <control shapeId="1039" r:id="rId27" name="CheckBox1">
          <controlPr autoLine="0" autoPict="0" r:id="rId28">
            <anchor moveWithCells="1">
              <from>
                <xdr:col>4</xdr:col>
                <xdr:colOff>209550</xdr:colOff>
                <xdr:row>12</xdr:row>
                <xdr:rowOff>0</xdr:rowOff>
              </from>
              <to>
                <xdr:col>6</xdr:col>
                <xdr:colOff>476250</xdr:colOff>
                <xdr:row>14</xdr:row>
                <xdr:rowOff>57150</xdr:rowOff>
              </to>
            </anchor>
          </controlPr>
        </control>
      </mc:Choice>
      <mc:Fallback>
        <control shapeId="1039" r:id="rId27" name="CheckBox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30"/>
  <sheetViews>
    <sheetView tabSelected="1" workbookViewId="0">
      <selection activeCell="H1" sqref="H1"/>
    </sheetView>
  </sheetViews>
  <sheetFormatPr defaultRowHeight="15" x14ac:dyDescent="0.25"/>
  <cols>
    <col min="1" max="1" width="14.140625" customWidth="1"/>
    <col min="2" max="2" width="12.5703125" style="3" customWidth="1"/>
    <col min="3" max="4" width="12.5703125" customWidth="1"/>
    <col min="10" max="10" width="11.28515625" customWidth="1"/>
    <col min="11" max="11" width="9.140625" style="4" customWidth="1"/>
  </cols>
  <sheetData>
    <row r="1" spans="1:21" s="4" customFormat="1" x14ac:dyDescent="0.25">
      <c r="A1" s="2" t="s">
        <v>1</v>
      </c>
      <c r="B1" s="2" t="s">
        <v>4</v>
      </c>
      <c r="C1" s="2" t="s">
        <v>2</v>
      </c>
      <c r="D1" s="2" t="s">
        <v>3</v>
      </c>
      <c r="E1"/>
      <c r="F1"/>
      <c r="G1"/>
      <c r="H1"/>
      <c r="I1"/>
      <c r="J1"/>
      <c r="K1" s="4" t="s">
        <v>17</v>
      </c>
      <c r="M1" s="4" t="s">
        <v>17</v>
      </c>
      <c r="N1" s="4" t="s">
        <v>18</v>
      </c>
      <c r="O1" s="4" t="s">
        <v>9</v>
      </c>
      <c r="P1" s="4" t="s">
        <v>44</v>
      </c>
      <c r="Q1" s="4" t="s">
        <v>40</v>
      </c>
      <c r="R1" s="4" t="s">
        <v>21</v>
      </c>
      <c r="S1" s="4" t="s">
        <v>79</v>
      </c>
      <c r="T1" s="4" t="s">
        <v>58</v>
      </c>
      <c r="U1" s="4" t="s">
        <v>28</v>
      </c>
    </row>
    <row r="2" spans="1:21" x14ac:dyDescent="0.25">
      <c r="A2" t="s">
        <v>15</v>
      </c>
      <c r="B2" s="3" t="s">
        <v>5</v>
      </c>
      <c r="C2" t="s">
        <v>18</v>
      </c>
      <c r="D2" t="s">
        <v>7</v>
      </c>
      <c r="K2" s="4" t="s">
        <v>18</v>
      </c>
      <c r="M2" t="s">
        <v>10</v>
      </c>
      <c r="N2" t="s">
        <v>12</v>
      </c>
      <c r="O2" t="s">
        <v>37</v>
      </c>
      <c r="P2" t="s">
        <v>74</v>
      </c>
      <c r="Q2" t="s">
        <v>41</v>
      </c>
      <c r="R2" t="s">
        <v>23</v>
      </c>
      <c r="S2" t="s">
        <v>54</v>
      </c>
      <c r="T2" t="s">
        <v>81</v>
      </c>
      <c r="U2" t="s">
        <v>60</v>
      </c>
    </row>
    <row r="3" spans="1:21" x14ac:dyDescent="0.25">
      <c r="A3" t="s">
        <v>6</v>
      </c>
      <c r="B3" s="3" t="s">
        <v>5</v>
      </c>
      <c r="C3" t="s">
        <v>44</v>
      </c>
      <c r="D3" t="s">
        <v>74</v>
      </c>
      <c r="K3" s="4" t="s">
        <v>9</v>
      </c>
      <c r="M3" t="s">
        <v>11</v>
      </c>
      <c r="N3" t="s">
        <v>7</v>
      </c>
      <c r="O3" t="s">
        <v>45</v>
      </c>
      <c r="P3" t="s">
        <v>43</v>
      </c>
      <c r="Q3" t="s">
        <v>49</v>
      </c>
      <c r="S3" t="s">
        <v>80</v>
      </c>
      <c r="U3" t="s">
        <v>87</v>
      </c>
    </row>
    <row r="4" spans="1:21" x14ac:dyDescent="0.25">
      <c r="A4" t="s">
        <v>42</v>
      </c>
      <c r="B4" s="3" t="s">
        <v>5</v>
      </c>
      <c r="C4" t="s">
        <v>44</v>
      </c>
      <c r="D4" t="s">
        <v>43</v>
      </c>
      <c r="K4" s="4" t="s">
        <v>44</v>
      </c>
      <c r="M4" t="s">
        <v>75</v>
      </c>
      <c r="O4" t="s">
        <v>16</v>
      </c>
      <c r="P4" t="s">
        <v>8</v>
      </c>
      <c r="Q4" t="s">
        <v>84</v>
      </c>
      <c r="S4" t="s">
        <v>90</v>
      </c>
    </row>
    <row r="5" spans="1:21" x14ac:dyDescent="0.25">
      <c r="A5" t="s">
        <v>76</v>
      </c>
      <c r="B5" s="3" t="s">
        <v>5</v>
      </c>
      <c r="C5" t="s">
        <v>44</v>
      </c>
      <c r="D5" t="s">
        <v>8</v>
      </c>
      <c r="K5" s="4" t="s">
        <v>40</v>
      </c>
      <c r="P5" t="s">
        <v>69</v>
      </c>
      <c r="Q5" t="s">
        <v>85</v>
      </c>
    </row>
    <row r="6" spans="1:21" x14ac:dyDescent="0.25">
      <c r="A6" t="s">
        <v>77</v>
      </c>
      <c r="B6" s="3" t="s">
        <v>5</v>
      </c>
      <c r="C6" t="s">
        <v>9</v>
      </c>
      <c r="D6" t="s">
        <v>45</v>
      </c>
      <c r="K6" s="4" t="s">
        <v>21</v>
      </c>
      <c r="Q6" t="s">
        <v>86</v>
      </c>
    </row>
    <row r="7" spans="1:21" x14ac:dyDescent="0.25">
      <c r="A7" t="s">
        <v>46</v>
      </c>
      <c r="B7" s="3" t="s">
        <v>5</v>
      </c>
      <c r="C7" t="s">
        <v>9</v>
      </c>
      <c r="D7" t="s">
        <v>37</v>
      </c>
      <c r="K7" s="4" t="s">
        <v>79</v>
      </c>
    </row>
    <row r="8" spans="1:21" x14ac:dyDescent="0.25">
      <c r="A8" t="s">
        <v>47</v>
      </c>
      <c r="B8" s="3" t="s">
        <v>5</v>
      </c>
      <c r="C8" t="s">
        <v>44</v>
      </c>
      <c r="D8" t="s">
        <v>43</v>
      </c>
      <c r="K8" s="4" t="s">
        <v>58</v>
      </c>
    </row>
    <row r="9" spans="1:21" x14ac:dyDescent="0.25">
      <c r="A9" t="s">
        <v>48</v>
      </c>
      <c r="B9" s="3" t="s">
        <v>55</v>
      </c>
      <c r="C9" t="s">
        <v>40</v>
      </c>
      <c r="D9" t="s">
        <v>49</v>
      </c>
      <c r="K9" s="4" t="s">
        <v>28</v>
      </c>
    </row>
    <row r="10" spans="1:21" x14ac:dyDescent="0.25">
      <c r="A10" t="s">
        <v>50</v>
      </c>
      <c r="B10" s="3" t="s">
        <v>5</v>
      </c>
      <c r="C10" t="s">
        <v>9</v>
      </c>
      <c r="D10" t="s">
        <v>45</v>
      </c>
    </row>
    <row r="11" spans="1:21" x14ac:dyDescent="0.25">
      <c r="A11" t="s">
        <v>51</v>
      </c>
      <c r="B11" s="3" t="s">
        <v>5</v>
      </c>
      <c r="C11" t="s">
        <v>9</v>
      </c>
      <c r="D11" t="s">
        <v>16</v>
      </c>
    </row>
    <row r="12" spans="1:21" x14ac:dyDescent="0.25">
      <c r="A12" t="s">
        <v>52</v>
      </c>
      <c r="B12" s="3" t="s">
        <v>5</v>
      </c>
      <c r="C12" t="s">
        <v>9</v>
      </c>
      <c r="D12" t="s">
        <v>45</v>
      </c>
    </row>
    <row r="13" spans="1:21" x14ac:dyDescent="0.25">
      <c r="A13" t="s">
        <v>53</v>
      </c>
      <c r="B13" s="3" t="s">
        <v>5</v>
      </c>
      <c r="C13" t="s">
        <v>18</v>
      </c>
      <c r="D13" t="s">
        <v>7</v>
      </c>
    </row>
    <row r="14" spans="1:21" x14ac:dyDescent="0.25">
      <c r="A14" t="s">
        <v>78</v>
      </c>
      <c r="B14" s="3" t="s">
        <v>5</v>
      </c>
      <c r="C14" t="s">
        <v>9</v>
      </c>
      <c r="D14" t="s">
        <v>45</v>
      </c>
    </row>
    <row r="15" spans="1:21" x14ac:dyDescent="0.25">
      <c r="A15" t="s">
        <v>56</v>
      </c>
      <c r="B15" s="3" t="s">
        <v>55</v>
      </c>
      <c r="C15" t="s">
        <v>79</v>
      </c>
      <c r="D15" t="s">
        <v>54</v>
      </c>
      <c r="J15" s="4"/>
    </row>
    <row r="16" spans="1:21" x14ac:dyDescent="0.25">
      <c r="A16" t="s">
        <v>59</v>
      </c>
      <c r="B16" s="3" t="s">
        <v>5</v>
      </c>
      <c r="C16" t="s">
        <v>58</v>
      </c>
      <c r="D16" t="s">
        <v>81</v>
      </c>
      <c r="J16" s="4"/>
    </row>
    <row r="17" spans="1:4" x14ac:dyDescent="0.25">
      <c r="A17" t="s">
        <v>61</v>
      </c>
      <c r="B17" s="3" t="s">
        <v>5</v>
      </c>
      <c r="C17" t="s">
        <v>28</v>
      </c>
      <c r="D17" t="s">
        <v>60</v>
      </c>
    </row>
    <row r="18" spans="1:4" x14ac:dyDescent="0.25">
      <c r="A18" t="s">
        <v>62</v>
      </c>
      <c r="B18" s="3" t="s">
        <v>5</v>
      </c>
      <c r="C18" t="s">
        <v>28</v>
      </c>
      <c r="D18" t="s">
        <v>60</v>
      </c>
    </row>
    <row r="19" spans="1:4" x14ac:dyDescent="0.25">
      <c r="A19" t="s">
        <v>63</v>
      </c>
      <c r="B19" s="3" t="s">
        <v>5</v>
      </c>
      <c r="C19" t="s">
        <v>9</v>
      </c>
      <c r="D19" t="s">
        <v>45</v>
      </c>
    </row>
    <row r="20" spans="1:4" x14ac:dyDescent="0.25">
      <c r="A20" t="s">
        <v>64</v>
      </c>
      <c r="B20" s="3" t="s">
        <v>5</v>
      </c>
      <c r="C20" t="s">
        <v>9</v>
      </c>
      <c r="D20" t="s">
        <v>37</v>
      </c>
    </row>
    <row r="21" spans="1:4" x14ac:dyDescent="0.25">
      <c r="A21" t="s">
        <v>65</v>
      </c>
      <c r="B21" s="3" t="s">
        <v>5</v>
      </c>
      <c r="C21" t="s">
        <v>18</v>
      </c>
      <c r="D21" t="s">
        <v>7</v>
      </c>
    </row>
    <row r="22" spans="1:4" x14ac:dyDescent="0.25">
      <c r="A22" t="s">
        <v>66</v>
      </c>
      <c r="B22" s="3" t="s">
        <v>5</v>
      </c>
      <c r="C22" t="s">
        <v>28</v>
      </c>
      <c r="D22" t="s">
        <v>87</v>
      </c>
    </row>
    <row r="23" spans="1:4" x14ac:dyDescent="0.25">
      <c r="A23" t="s">
        <v>35</v>
      </c>
      <c r="B23" s="3" t="s">
        <v>55</v>
      </c>
      <c r="C23" t="s">
        <v>18</v>
      </c>
      <c r="D23" t="s">
        <v>12</v>
      </c>
    </row>
    <row r="24" spans="1:4" x14ac:dyDescent="0.25">
      <c r="A24" t="s">
        <v>67</v>
      </c>
      <c r="B24" s="3" t="s">
        <v>5</v>
      </c>
      <c r="C24" t="s">
        <v>44</v>
      </c>
      <c r="D24" t="s">
        <v>43</v>
      </c>
    </row>
    <row r="25" spans="1:4" x14ac:dyDescent="0.25">
      <c r="A25" t="s">
        <v>68</v>
      </c>
      <c r="B25" s="3" t="s">
        <v>5</v>
      </c>
      <c r="C25" t="s">
        <v>18</v>
      </c>
      <c r="D25" t="s">
        <v>7</v>
      </c>
    </row>
    <row r="26" spans="1:4" x14ac:dyDescent="0.25">
      <c r="A26" t="s">
        <v>22</v>
      </c>
      <c r="B26" s="3" t="s">
        <v>5</v>
      </c>
      <c r="C26" t="s">
        <v>9</v>
      </c>
      <c r="D26" t="s">
        <v>16</v>
      </c>
    </row>
    <row r="27" spans="1:4" x14ac:dyDescent="0.25">
      <c r="A27" t="s">
        <v>70</v>
      </c>
      <c r="B27" s="3" t="s">
        <v>5</v>
      </c>
      <c r="C27" t="s">
        <v>44</v>
      </c>
      <c r="D27" t="s">
        <v>69</v>
      </c>
    </row>
    <row r="28" spans="1:4" x14ac:dyDescent="0.25">
      <c r="A28" t="s">
        <v>145</v>
      </c>
      <c r="B28" s="3" t="s">
        <v>5</v>
      </c>
      <c r="C28" t="s">
        <v>18</v>
      </c>
      <c r="D28" t="s">
        <v>7</v>
      </c>
    </row>
    <row r="29" spans="1:4" x14ac:dyDescent="0.25">
      <c r="A29" t="s">
        <v>89</v>
      </c>
      <c r="B29" s="3" t="s">
        <v>5</v>
      </c>
      <c r="C29" t="s">
        <v>21</v>
      </c>
      <c r="D29" t="s">
        <v>23</v>
      </c>
    </row>
    <row r="30" spans="1:4" x14ac:dyDescent="0.25">
      <c r="A30" t="s">
        <v>38</v>
      </c>
      <c r="B30" s="3" t="s">
        <v>5</v>
      </c>
      <c r="C30" t="s">
        <v>9</v>
      </c>
      <c r="D30" t="s">
        <v>37</v>
      </c>
    </row>
  </sheetData>
  <conditionalFormatting sqref="C1:C1048576">
    <cfRule type="containsText" dxfId="1" priority="2" operator="containsText" text="Choose Category">
      <formula>NOT(ISERROR(SEARCH("Choose Category",C1)))</formula>
    </cfRule>
  </conditionalFormatting>
  <conditionalFormatting sqref="D1:D1048576">
    <cfRule type="containsText" dxfId="0" priority="1" operator="containsText" text="Choose Subcategory">
      <formula>NOT(ISERROR(SEARCH("Choose Subcategory",D1)))</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9" r:id="rId4" name="applyButton">
          <controlPr autoLine="0" r:id="rId5">
            <anchor moveWithCells="1">
              <from>
                <xdr:col>6</xdr:col>
                <xdr:colOff>76200</xdr:colOff>
                <xdr:row>4</xdr:row>
                <xdr:rowOff>0</xdr:rowOff>
              </from>
              <to>
                <xdr:col>7</xdr:col>
                <xdr:colOff>542925</xdr:colOff>
                <xdr:row>5</xdr:row>
                <xdr:rowOff>114300</xdr:rowOff>
              </to>
            </anchor>
          </controlPr>
        </control>
      </mc:Choice>
      <mc:Fallback>
        <control shapeId="2049" r:id="rId4" name="applyButton"/>
      </mc:Fallback>
    </mc:AlternateContent>
    <mc:AlternateContent xmlns:mc="http://schemas.openxmlformats.org/markup-compatibility/2006">
      <mc:Choice Requires="x14">
        <control shapeId="2050" r:id="rId6" name="resetButton">
          <controlPr autoLine="0" r:id="rId7">
            <anchor moveWithCells="1">
              <from>
                <xdr:col>6</xdr:col>
                <xdr:colOff>85725</xdr:colOff>
                <xdr:row>6</xdr:row>
                <xdr:rowOff>0</xdr:rowOff>
              </from>
              <to>
                <xdr:col>7</xdr:col>
                <xdr:colOff>542925</xdr:colOff>
                <xdr:row>7</xdr:row>
                <xdr:rowOff>114300</xdr:rowOff>
              </to>
            </anchor>
          </controlPr>
        </control>
      </mc:Choice>
      <mc:Fallback>
        <control shapeId="2050" r:id="rId6" name="resetButton"/>
      </mc:Fallback>
    </mc:AlternateContent>
    <mc:AlternateContent xmlns:mc="http://schemas.openxmlformats.org/markup-compatibility/2006">
      <mc:Choice Requires="x14">
        <control shapeId="2052" r:id="rId8" name="statementButton">
          <controlPr autoLine="0" r:id="rId9">
            <anchor moveWithCells="1">
              <from>
                <xdr:col>6</xdr:col>
                <xdr:colOff>76200</xdr:colOff>
                <xdr:row>1</xdr:row>
                <xdr:rowOff>171450</xdr:rowOff>
              </from>
              <to>
                <xdr:col>7</xdr:col>
                <xdr:colOff>542925</xdr:colOff>
                <xdr:row>3</xdr:row>
                <xdr:rowOff>95250</xdr:rowOff>
              </to>
            </anchor>
          </controlPr>
        </control>
      </mc:Choice>
      <mc:Fallback>
        <control shapeId="2052" r:id="rId8" name="statement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6"/>
  <sheetViews>
    <sheetView workbookViewId="0">
      <selection activeCell="B7" sqref="B7"/>
    </sheetView>
  </sheetViews>
  <sheetFormatPr defaultRowHeight="15" x14ac:dyDescent="0.25"/>
  <cols>
    <col min="1" max="1" width="11.42578125" style="6" customWidth="1"/>
    <col min="2" max="2" width="27.42578125" style="5" customWidth="1"/>
    <col min="3" max="6" width="9.140625" style="5"/>
    <col min="7" max="7" width="9.140625" style="7"/>
    <col min="8" max="16384" width="9.140625" style="5"/>
  </cols>
  <sheetData>
    <row r="1" spans="1:13" x14ac:dyDescent="0.25">
      <c r="A1" s="6">
        <v>41792</v>
      </c>
      <c r="B1" s="5" t="s">
        <v>92</v>
      </c>
      <c r="C1" s="5">
        <v>-10.56</v>
      </c>
      <c r="D1" s="5">
        <v>4347.29</v>
      </c>
      <c r="F1" s="5" t="s">
        <v>38</v>
      </c>
      <c r="G1" s="7" t="s">
        <v>5</v>
      </c>
      <c r="H1" s="5" t="s">
        <v>9</v>
      </c>
      <c r="I1" s="5" t="s">
        <v>37</v>
      </c>
      <c r="L1" s="5">
        <v>28</v>
      </c>
      <c r="M1" s="5" t="s">
        <v>152</v>
      </c>
    </row>
    <row r="2" spans="1:13" x14ac:dyDescent="0.25">
      <c r="A2" s="6">
        <f t="shared" ref="A2:A55" ca="1" si="0">TODAY()-L2</f>
        <v>41877</v>
      </c>
      <c r="B2" s="5" t="s">
        <v>93</v>
      </c>
      <c r="C2" s="5">
        <v>-18.48</v>
      </c>
      <c r="D2" s="5">
        <v>4328.8100000000004</v>
      </c>
      <c r="F2" s="5" t="s">
        <v>73</v>
      </c>
      <c r="H2" s="5" t="s">
        <v>44</v>
      </c>
      <c r="I2" s="5" t="s">
        <v>74</v>
      </c>
      <c r="L2" s="5">
        <v>28</v>
      </c>
    </row>
    <row r="3" spans="1:13" x14ac:dyDescent="0.25">
      <c r="A3" s="6">
        <f t="shared" ca="1" si="0"/>
        <v>41877</v>
      </c>
      <c r="B3" s="5" t="s">
        <v>94</v>
      </c>
      <c r="C3" s="5">
        <v>-31.99</v>
      </c>
      <c r="D3" s="5">
        <v>4296.82</v>
      </c>
      <c r="F3" s="5" t="s">
        <v>15</v>
      </c>
      <c r="G3" s="7" t="s">
        <v>5</v>
      </c>
      <c r="H3" s="5" t="s">
        <v>18</v>
      </c>
      <c r="I3" s="5" t="s">
        <v>7</v>
      </c>
      <c r="L3" s="5">
        <v>28</v>
      </c>
    </row>
    <row r="4" spans="1:13" x14ac:dyDescent="0.25">
      <c r="A4" s="6">
        <f t="shared" ca="1" si="0"/>
        <v>41877</v>
      </c>
      <c r="B4" s="5" t="s">
        <v>95</v>
      </c>
      <c r="C4" s="5">
        <v>-0.97</v>
      </c>
      <c r="D4" s="5">
        <v>2766.35</v>
      </c>
      <c r="F4" s="5" t="s">
        <v>89</v>
      </c>
      <c r="G4" s="7" t="s">
        <v>5</v>
      </c>
      <c r="H4" s="5" t="s">
        <v>21</v>
      </c>
      <c r="I4" s="5" t="s">
        <v>23</v>
      </c>
      <c r="L4" s="5">
        <v>28</v>
      </c>
    </row>
    <row r="5" spans="1:13" x14ac:dyDescent="0.25">
      <c r="A5" s="6">
        <f t="shared" ca="1" si="0"/>
        <v>41878</v>
      </c>
      <c r="B5" s="5" t="s">
        <v>96</v>
      </c>
      <c r="C5" s="5">
        <v>-121.33</v>
      </c>
      <c r="D5" s="5">
        <v>2645.02</v>
      </c>
      <c r="F5" s="5" t="s">
        <v>42</v>
      </c>
      <c r="G5" s="7" t="s">
        <v>5</v>
      </c>
      <c r="H5" s="5" t="s">
        <v>44</v>
      </c>
      <c r="I5" s="5" t="s">
        <v>43</v>
      </c>
      <c r="L5" s="5">
        <v>27</v>
      </c>
    </row>
    <row r="6" spans="1:13" x14ac:dyDescent="0.25">
      <c r="A6" s="6">
        <f t="shared" ca="1" si="0"/>
        <v>41878</v>
      </c>
      <c r="B6" s="5" t="s">
        <v>97</v>
      </c>
      <c r="C6" s="5">
        <v>-1.25</v>
      </c>
      <c r="D6" s="5">
        <v>2643.77</v>
      </c>
      <c r="F6" s="5" t="s">
        <v>76</v>
      </c>
      <c r="G6" s="7" t="s">
        <v>5</v>
      </c>
      <c r="H6" s="5" t="s">
        <v>44</v>
      </c>
      <c r="I6" s="5" t="s">
        <v>8</v>
      </c>
      <c r="L6" s="5">
        <v>27</v>
      </c>
    </row>
    <row r="7" spans="1:13" x14ac:dyDescent="0.25">
      <c r="A7" s="6">
        <f t="shared" ca="1" si="0"/>
        <v>41878</v>
      </c>
      <c r="B7" s="5" t="s">
        <v>98</v>
      </c>
      <c r="C7" s="5">
        <v>-1.42</v>
      </c>
      <c r="D7" s="5">
        <v>2642.35</v>
      </c>
      <c r="F7" s="5" t="s">
        <v>89</v>
      </c>
      <c r="G7" s="7" t="s">
        <v>5</v>
      </c>
      <c r="H7" s="5" t="s">
        <v>21</v>
      </c>
      <c r="I7" s="5" t="s">
        <v>23</v>
      </c>
      <c r="L7" s="5">
        <v>27</v>
      </c>
    </row>
    <row r="8" spans="1:13" x14ac:dyDescent="0.25">
      <c r="A8" s="6">
        <f t="shared" ca="1" si="0"/>
        <v>41879</v>
      </c>
      <c r="B8" s="5" t="s">
        <v>99</v>
      </c>
      <c r="C8" s="5">
        <v>-11</v>
      </c>
      <c r="D8" s="5">
        <v>2631.35</v>
      </c>
      <c r="F8" s="5" t="s">
        <v>77</v>
      </c>
      <c r="G8" s="7" t="s">
        <v>5</v>
      </c>
      <c r="H8" s="5" t="s">
        <v>9</v>
      </c>
      <c r="I8" s="5" t="s">
        <v>45</v>
      </c>
      <c r="L8" s="5">
        <v>26</v>
      </c>
    </row>
    <row r="9" spans="1:13" x14ac:dyDescent="0.25">
      <c r="A9" s="6">
        <f t="shared" ca="1" si="0"/>
        <v>41880</v>
      </c>
      <c r="B9" s="5" t="s">
        <v>100</v>
      </c>
      <c r="C9" s="5">
        <v>-7.01</v>
      </c>
      <c r="D9" s="5">
        <v>2624.34</v>
      </c>
      <c r="F9" s="5" t="s">
        <v>46</v>
      </c>
      <c r="G9" s="7" t="s">
        <v>5</v>
      </c>
      <c r="H9" s="5" t="s">
        <v>9</v>
      </c>
      <c r="I9" s="5" t="s">
        <v>37</v>
      </c>
      <c r="L9" s="5">
        <v>25</v>
      </c>
    </row>
    <row r="10" spans="1:13" x14ac:dyDescent="0.25">
      <c r="A10" s="6">
        <f t="shared" ca="1" si="0"/>
        <v>41880</v>
      </c>
      <c r="B10" s="5" t="s">
        <v>101</v>
      </c>
      <c r="C10" s="5">
        <v>-36.71</v>
      </c>
      <c r="D10" s="5">
        <v>2587.63</v>
      </c>
      <c r="F10" s="5" t="s">
        <v>47</v>
      </c>
      <c r="G10" s="7" t="s">
        <v>5</v>
      </c>
      <c r="H10" s="5" t="s">
        <v>44</v>
      </c>
      <c r="I10" s="5" t="s">
        <v>43</v>
      </c>
      <c r="L10" s="5">
        <v>25</v>
      </c>
    </row>
    <row r="11" spans="1:13" x14ac:dyDescent="0.25">
      <c r="A11" s="6">
        <f t="shared" ca="1" si="0"/>
        <v>41880</v>
      </c>
      <c r="B11" s="5" t="s">
        <v>102</v>
      </c>
      <c r="C11" s="5">
        <v>-155.24</v>
      </c>
      <c r="D11" s="5">
        <v>2432.39</v>
      </c>
      <c r="F11" s="5" t="s">
        <v>48</v>
      </c>
      <c r="G11" s="7" t="s">
        <v>55</v>
      </c>
      <c r="H11" s="5" t="s">
        <v>40</v>
      </c>
      <c r="I11" s="5" t="s">
        <v>49</v>
      </c>
      <c r="L11" s="5">
        <v>25</v>
      </c>
    </row>
    <row r="12" spans="1:13" x14ac:dyDescent="0.25">
      <c r="A12" s="6">
        <f t="shared" ca="1" si="0"/>
        <v>41880</v>
      </c>
      <c r="B12" s="5" t="s">
        <v>103</v>
      </c>
      <c r="C12" s="5">
        <v>-2.04</v>
      </c>
      <c r="D12" s="5">
        <v>2430.35</v>
      </c>
      <c r="F12" s="5" t="s">
        <v>89</v>
      </c>
      <c r="G12" s="7" t="s">
        <v>5</v>
      </c>
      <c r="H12" s="5" t="s">
        <v>21</v>
      </c>
      <c r="I12" s="5" t="s">
        <v>23</v>
      </c>
      <c r="L12" s="5">
        <v>25</v>
      </c>
    </row>
    <row r="13" spans="1:13" x14ac:dyDescent="0.25">
      <c r="A13" s="6">
        <f t="shared" ca="1" si="0"/>
        <v>41884</v>
      </c>
      <c r="B13" s="5" t="s">
        <v>104</v>
      </c>
      <c r="C13" s="5">
        <v>-25.77</v>
      </c>
      <c r="D13" s="5">
        <v>3120.99</v>
      </c>
      <c r="F13" s="5" t="s">
        <v>50</v>
      </c>
      <c r="G13" s="7" t="s">
        <v>5</v>
      </c>
      <c r="H13" s="5" t="s">
        <v>9</v>
      </c>
      <c r="I13" s="5" t="s">
        <v>45</v>
      </c>
      <c r="L13" s="5">
        <v>21</v>
      </c>
    </row>
    <row r="14" spans="1:13" x14ac:dyDescent="0.25">
      <c r="A14" s="6">
        <f t="shared" ca="1" si="0"/>
        <v>41884</v>
      </c>
      <c r="B14" s="5" t="s">
        <v>105</v>
      </c>
      <c r="C14" s="5">
        <v>-60.27</v>
      </c>
      <c r="D14" s="5">
        <v>3060.72</v>
      </c>
      <c r="F14" s="5" t="s">
        <v>51</v>
      </c>
      <c r="G14" s="7" t="s">
        <v>5</v>
      </c>
      <c r="H14" s="5" t="s">
        <v>9</v>
      </c>
      <c r="I14" s="5" t="s">
        <v>16</v>
      </c>
      <c r="L14" s="5">
        <v>21</v>
      </c>
    </row>
    <row r="15" spans="1:13" x14ac:dyDescent="0.25">
      <c r="A15" s="6">
        <f t="shared" ca="1" si="0"/>
        <v>41884</v>
      </c>
      <c r="B15" s="5" t="s">
        <v>106</v>
      </c>
      <c r="C15" s="5">
        <v>-63.56</v>
      </c>
      <c r="D15" s="5">
        <v>2997.16</v>
      </c>
      <c r="F15" s="5" t="s">
        <v>42</v>
      </c>
      <c r="G15" s="7" t="s">
        <v>5</v>
      </c>
      <c r="H15" s="5" t="s">
        <v>44</v>
      </c>
      <c r="I15" s="5" t="s">
        <v>43</v>
      </c>
      <c r="L15" s="5">
        <v>21</v>
      </c>
    </row>
    <row r="16" spans="1:13" x14ac:dyDescent="0.25">
      <c r="A16" s="6">
        <f t="shared" ca="1" si="0"/>
        <v>41884</v>
      </c>
      <c r="B16" s="5" t="s">
        <v>107</v>
      </c>
      <c r="C16" s="5">
        <v>-23.6</v>
      </c>
      <c r="D16" s="5">
        <v>2973.56</v>
      </c>
      <c r="F16" s="5" t="s">
        <v>52</v>
      </c>
      <c r="G16" s="7" t="s">
        <v>5</v>
      </c>
      <c r="H16" s="5" t="s">
        <v>9</v>
      </c>
      <c r="I16" s="5" t="s">
        <v>45</v>
      </c>
      <c r="L16" s="5">
        <v>21</v>
      </c>
    </row>
    <row r="17" spans="1:12" x14ac:dyDescent="0.25">
      <c r="A17" s="6">
        <f t="shared" ca="1" si="0"/>
        <v>41884</v>
      </c>
      <c r="B17" s="5" t="s">
        <v>108</v>
      </c>
      <c r="C17" s="5">
        <v>-1.8</v>
      </c>
      <c r="D17" s="5">
        <v>2971.76</v>
      </c>
      <c r="F17" s="5" t="s">
        <v>89</v>
      </c>
      <c r="G17" s="7" t="s">
        <v>5</v>
      </c>
      <c r="H17" s="5" t="s">
        <v>21</v>
      </c>
      <c r="I17" s="5" t="s">
        <v>23</v>
      </c>
      <c r="L17" s="5">
        <v>21</v>
      </c>
    </row>
    <row r="18" spans="1:12" x14ac:dyDescent="0.25">
      <c r="A18" s="6">
        <f t="shared" ca="1" si="0"/>
        <v>41885</v>
      </c>
      <c r="B18" s="5" t="s">
        <v>109</v>
      </c>
      <c r="C18" s="5">
        <v>-3.72</v>
      </c>
      <c r="D18" s="5">
        <v>2968.04</v>
      </c>
      <c r="F18" s="5" t="s">
        <v>53</v>
      </c>
      <c r="G18" s="7" t="s">
        <v>5</v>
      </c>
      <c r="H18" s="5" t="s">
        <v>18</v>
      </c>
      <c r="I18" s="5" t="s">
        <v>7</v>
      </c>
      <c r="L18" s="5">
        <v>20</v>
      </c>
    </row>
    <row r="19" spans="1:12" x14ac:dyDescent="0.25">
      <c r="A19" s="6">
        <f t="shared" ca="1" si="0"/>
        <v>41885</v>
      </c>
      <c r="B19" s="5" t="s">
        <v>110</v>
      </c>
      <c r="C19" s="5">
        <v>-0.28000000000000003</v>
      </c>
      <c r="D19" s="5">
        <v>2967.76</v>
      </c>
      <c r="F19" s="5" t="s">
        <v>89</v>
      </c>
      <c r="G19" s="7" t="s">
        <v>5</v>
      </c>
      <c r="H19" s="5" t="s">
        <v>21</v>
      </c>
      <c r="I19" s="5" t="s">
        <v>23</v>
      </c>
      <c r="L19" s="5">
        <v>20</v>
      </c>
    </row>
    <row r="20" spans="1:12" x14ac:dyDescent="0.25">
      <c r="A20" s="6">
        <f t="shared" ca="1" si="0"/>
        <v>41886</v>
      </c>
      <c r="B20" s="5" t="s">
        <v>111</v>
      </c>
      <c r="C20" s="5">
        <v>-28</v>
      </c>
      <c r="D20" s="5">
        <v>2939.76</v>
      </c>
      <c r="F20" s="5" t="s">
        <v>78</v>
      </c>
      <c r="G20" s="7" t="s">
        <v>5</v>
      </c>
      <c r="H20" s="5" t="s">
        <v>9</v>
      </c>
      <c r="I20" s="5" t="s">
        <v>45</v>
      </c>
      <c r="L20" s="5">
        <v>19</v>
      </c>
    </row>
    <row r="21" spans="1:12" x14ac:dyDescent="0.25">
      <c r="A21" s="6">
        <f t="shared" ca="1" si="0"/>
        <v>41888</v>
      </c>
      <c r="B21" s="5" t="s">
        <v>112</v>
      </c>
      <c r="C21" s="5">
        <v>-38.85</v>
      </c>
      <c r="D21" s="5">
        <v>3773.77</v>
      </c>
      <c r="F21" s="5" t="s">
        <v>56</v>
      </c>
      <c r="G21" s="7" t="s">
        <v>55</v>
      </c>
      <c r="H21" s="5" t="s">
        <v>79</v>
      </c>
      <c r="I21" s="5" t="s">
        <v>54</v>
      </c>
      <c r="L21" s="5">
        <v>17</v>
      </c>
    </row>
    <row r="22" spans="1:12" x14ac:dyDescent="0.25">
      <c r="A22" s="6">
        <f t="shared" ca="1" si="0"/>
        <v>41888</v>
      </c>
      <c r="B22" s="5" t="s">
        <v>113</v>
      </c>
      <c r="C22" s="5">
        <v>-53.47</v>
      </c>
      <c r="D22" s="5">
        <v>3720.3</v>
      </c>
      <c r="F22" s="5" t="s">
        <v>145</v>
      </c>
      <c r="G22" s="7" t="s">
        <v>5</v>
      </c>
      <c r="H22" s="5" t="s">
        <v>18</v>
      </c>
      <c r="I22" s="5" t="s">
        <v>7</v>
      </c>
      <c r="L22" s="5">
        <v>17</v>
      </c>
    </row>
    <row r="23" spans="1:12" x14ac:dyDescent="0.25">
      <c r="A23" s="6">
        <f t="shared" ca="1" si="0"/>
        <v>41888</v>
      </c>
      <c r="B23" s="5" t="s">
        <v>114</v>
      </c>
      <c r="C23" s="5">
        <v>-1.17</v>
      </c>
      <c r="D23" s="5">
        <v>3719.13</v>
      </c>
      <c r="F23" s="5" t="s">
        <v>56</v>
      </c>
      <c r="G23" s="7" t="s">
        <v>55</v>
      </c>
      <c r="H23" s="5" t="s">
        <v>79</v>
      </c>
      <c r="I23" s="5" t="s">
        <v>54</v>
      </c>
      <c r="L23" s="5">
        <v>17</v>
      </c>
    </row>
    <row r="24" spans="1:12" x14ac:dyDescent="0.25">
      <c r="A24" s="6">
        <f t="shared" ca="1" si="0"/>
        <v>41888</v>
      </c>
      <c r="B24" s="5" t="s">
        <v>115</v>
      </c>
      <c r="C24" s="5">
        <v>-0.68</v>
      </c>
      <c r="D24" s="5">
        <v>3718.45</v>
      </c>
      <c r="F24" s="5" t="s">
        <v>89</v>
      </c>
      <c r="G24" s="7" t="s">
        <v>5</v>
      </c>
      <c r="H24" s="5" t="s">
        <v>21</v>
      </c>
      <c r="I24" s="5" t="s">
        <v>23</v>
      </c>
      <c r="L24" s="5">
        <v>17</v>
      </c>
    </row>
    <row r="25" spans="1:12" x14ac:dyDescent="0.25">
      <c r="A25" s="6">
        <f t="shared" ca="1" si="0"/>
        <v>41891</v>
      </c>
      <c r="B25" s="5" t="s">
        <v>116</v>
      </c>
      <c r="C25" s="5">
        <v>69.73</v>
      </c>
      <c r="D25" s="5">
        <v>3788.18</v>
      </c>
      <c r="F25" s="5" t="s">
        <v>73</v>
      </c>
      <c r="H25" s="5" t="s">
        <v>79</v>
      </c>
      <c r="I25" s="5" t="s">
        <v>80</v>
      </c>
      <c r="L25" s="5">
        <v>14</v>
      </c>
    </row>
    <row r="26" spans="1:12" x14ac:dyDescent="0.25">
      <c r="A26" s="6">
        <f t="shared" ca="1" si="0"/>
        <v>41891</v>
      </c>
      <c r="B26" s="5" t="s">
        <v>117</v>
      </c>
      <c r="C26" s="5">
        <v>-9.99</v>
      </c>
      <c r="D26" s="5">
        <v>3778.19</v>
      </c>
      <c r="F26" s="5" t="s">
        <v>59</v>
      </c>
      <c r="G26" s="7" t="s">
        <v>5</v>
      </c>
      <c r="H26" s="5" t="s">
        <v>58</v>
      </c>
      <c r="I26" s="5" t="s">
        <v>81</v>
      </c>
      <c r="L26" s="5">
        <v>14</v>
      </c>
    </row>
    <row r="27" spans="1:12" x14ac:dyDescent="0.25">
      <c r="A27" s="6">
        <f t="shared" ca="1" si="0"/>
        <v>41891</v>
      </c>
      <c r="B27" s="5" t="s">
        <v>116</v>
      </c>
      <c r="C27" s="5">
        <v>-152.97999999999999</v>
      </c>
      <c r="D27" s="5">
        <v>3625.21</v>
      </c>
      <c r="F27" s="5" t="s">
        <v>73</v>
      </c>
      <c r="H27" s="5" t="s">
        <v>17</v>
      </c>
      <c r="I27" s="5" t="s">
        <v>11</v>
      </c>
      <c r="L27" s="5">
        <v>14</v>
      </c>
    </row>
    <row r="28" spans="1:12" x14ac:dyDescent="0.25">
      <c r="A28" s="6">
        <f t="shared" ca="1" si="0"/>
        <v>41891</v>
      </c>
      <c r="B28" s="5" t="s">
        <v>118</v>
      </c>
      <c r="C28" s="5">
        <v>-1.43</v>
      </c>
      <c r="D28" s="5">
        <v>3623.78</v>
      </c>
      <c r="F28" s="5" t="s">
        <v>73</v>
      </c>
      <c r="H28" s="5" t="s">
        <v>17</v>
      </c>
      <c r="I28" s="5" t="s">
        <v>11</v>
      </c>
      <c r="L28" s="5">
        <v>14</v>
      </c>
    </row>
    <row r="29" spans="1:12" x14ac:dyDescent="0.25">
      <c r="A29" s="6">
        <f t="shared" ca="1" si="0"/>
        <v>41891</v>
      </c>
      <c r="B29" s="5" t="s">
        <v>119</v>
      </c>
      <c r="C29" s="5">
        <v>-11.5</v>
      </c>
      <c r="D29" s="5">
        <v>3612.28</v>
      </c>
      <c r="F29" s="5" t="s">
        <v>38</v>
      </c>
      <c r="G29" s="7" t="s">
        <v>5</v>
      </c>
      <c r="H29" s="5" t="s">
        <v>9</v>
      </c>
      <c r="I29" s="5" t="s">
        <v>37</v>
      </c>
      <c r="L29" s="5">
        <v>14</v>
      </c>
    </row>
    <row r="30" spans="1:12" x14ac:dyDescent="0.25">
      <c r="A30" s="6">
        <f t="shared" ca="1" si="0"/>
        <v>41891</v>
      </c>
      <c r="B30" s="5" t="s">
        <v>120</v>
      </c>
      <c r="C30" s="5">
        <v>-17</v>
      </c>
      <c r="D30" s="5">
        <v>3595.28</v>
      </c>
      <c r="F30" s="5" t="s">
        <v>61</v>
      </c>
      <c r="G30" s="7" t="s">
        <v>5</v>
      </c>
      <c r="H30" s="5" t="s">
        <v>28</v>
      </c>
      <c r="I30" s="5" t="s">
        <v>60</v>
      </c>
      <c r="L30" s="5">
        <v>14</v>
      </c>
    </row>
    <row r="31" spans="1:12" x14ac:dyDescent="0.25">
      <c r="A31" s="6">
        <f t="shared" ca="1" si="0"/>
        <v>41891</v>
      </c>
      <c r="B31" s="5" t="s">
        <v>121</v>
      </c>
      <c r="C31" s="5">
        <v>-31</v>
      </c>
      <c r="D31" s="5">
        <v>3564.28</v>
      </c>
      <c r="F31" s="5" t="s">
        <v>62</v>
      </c>
      <c r="G31" s="7" t="s">
        <v>5</v>
      </c>
      <c r="H31" s="5" t="s">
        <v>28</v>
      </c>
      <c r="I31" s="5" t="s">
        <v>60</v>
      </c>
      <c r="L31" s="5">
        <v>14</v>
      </c>
    </row>
    <row r="32" spans="1:12" x14ac:dyDescent="0.25">
      <c r="A32" s="6">
        <f t="shared" ca="1" si="0"/>
        <v>41891</v>
      </c>
      <c r="B32" s="5" t="s">
        <v>122</v>
      </c>
      <c r="C32" s="5">
        <v>-25</v>
      </c>
      <c r="D32" s="5">
        <v>3539.28</v>
      </c>
      <c r="F32" s="5" t="s">
        <v>63</v>
      </c>
      <c r="G32" s="7" t="s">
        <v>5</v>
      </c>
      <c r="H32" s="5" t="s">
        <v>9</v>
      </c>
      <c r="I32" s="5" t="s">
        <v>45</v>
      </c>
      <c r="L32" s="5">
        <v>14</v>
      </c>
    </row>
    <row r="33" spans="1:12" x14ac:dyDescent="0.25">
      <c r="A33" s="6">
        <f t="shared" ca="1" si="0"/>
        <v>41891</v>
      </c>
      <c r="B33" s="5" t="s">
        <v>144</v>
      </c>
      <c r="C33" s="5">
        <v>-21.59</v>
      </c>
      <c r="D33" s="5">
        <v>3517.69</v>
      </c>
      <c r="F33" s="5" t="s">
        <v>73</v>
      </c>
      <c r="H33" s="5" t="s">
        <v>17</v>
      </c>
      <c r="I33" s="5" t="s">
        <v>82</v>
      </c>
      <c r="L33" s="5">
        <v>14</v>
      </c>
    </row>
    <row r="34" spans="1:12" x14ac:dyDescent="0.25">
      <c r="A34" s="6">
        <f t="shared" ca="1" si="0"/>
        <v>41891</v>
      </c>
      <c r="B34" s="5" t="s">
        <v>123</v>
      </c>
      <c r="C34" s="5">
        <v>-1.51</v>
      </c>
      <c r="D34" s="5">
        <v>3331.18</v>
      </c>
      <c r="F34" s="5" t="s">
        <v>89</v>
      </c>
      <c r="G34" s="7" t="s">
        <v>5</v>
      </c>
      <c r="H34" s="5" t="s">
        <v>21</v>
      </c>
      <c r="I34" s="5" t="s">
        <v>23</v>
      </c>
      <c r="L34" s="5">
        <v>14</v>
      </c>
    </row>
    <row r="35" spans="1:12" x14ac:dyDescent="0.25">
      <c r="A35" s="6">
        <f t="shared" ca="1" si="0"/>
        <v>41892</v>
      </c>
      <c r="B35" s="5" t="s">
        <v>124</v>
      </c>
      <c r="C35" s="5">
        <v>-13.59</v>
      </c>
      <c r="D35" s="5">
        <v>3317.59</v>
      </c>
      <c r="F35" s="5" t="s">
        <v>64</v>
      </c>
      <c r="G35" s="7" t="s">
        <v>5</v>
      </c>
      <c r="H35" s="5" t="s">
        <v>9</v>
      </c>
      <c r="I35" s="5" t="s">
        <v>37</v>
      </c>
      <c r="L35" s="5">
        <v>13</v>
      </c>
    </row>
    <row r="36" spans="1:12" x14ac:dyDescent="0.25">
      <c r="A36" s="6">
        <f t="shared" ca="1" si="0"/>
        <v>41892</v>
      </c>
      <c r="B36" s="5" t="s">
        <v>125</v>
      </c>
      <c r="C36" s="5">
        <v>-53.34</v>
      </c>
      <c r="D36" s="5">
        <v>3264.25</v>
      </c>
      <c r="F36" s="5" t="s">
        <v>65</v>
      </c>
      <c r="G36" s="7" t="s">
        <v>5</v>
      </c>
      <c r="H36" s="5" t="s">
        <v>18</v>
      </c>
      <c r="I36" s="5" t="s">
        <v>7</v>
      </c>
      <c r="L36" s="5">
        <v>13</v>
      </c>
    </row>
    <row r="37" spans="1:12" x14ac:dyDescent="0.25">
      <c r="A37" s="6">
        <f t="shared" ca="1" si="0"/>
        <v>41892</v>
      </c>
      <c r="B37" s="5" t="s">
        <v>126</v>
      </c>
      <c r="C37" s="5">
        <v>-1.65</v>
      </c>
      <c r="D37" s="5">
        <v>2929.18</v>
      </c>
      <c r="F37" s="5" t="s">
        <v>89</v>
      </c>
      <c r="G37" s="7" t="s">
        <v>5</v>
      </c>
      <c r="H37" s="5" t="s">
        <v>21</v>
      </c>
      <c r="I37" s="5" t="s">
        <v>23</v>
      </c>
      <c r="L37" s="5">
        <v>13</v>
      </c>
    </row>
    <row r="38" spans="1:12" x14ac:dyDescent="0.25">
      <c r="A38" s="6">
        <f t="shared" ca="1" si="0"/>
        <v>41893</v>
      </c>
      <c r="B38" s="5" t="s">
        <v>127</v>
      </c>
      <c r="C38" s="5">
        <v>-28</v>
      </c>
      <c r="D38" s="5">
        <v>2901.18</v>
      </c>
      <c r="F38" s="5" t="s">
        <v>63</v>
      </c>
      <c r="G38" s="7" t="s">
        <v>5</v>
      </c>
      <c r="H38" s="5" t="s">
        <v>9</v>
      </c>
      <c r="I38" s="5" t="s">
        <v>45</v>
      </c>
      <c r="L38" s="5">
        <v>12</v>
      </c>
    </row>
    <row r="39" spans="1:12" x14ac:dyDescent="0.25">
      <c r="A39" s="6">
        <f t="shared" ca="1" si="0"/>
        <v>41893</v>
      </c>
      <c r="B39" s="5" t="s">
        <v>128</v>
      </c>
      <c r="C39" s="5">
        <v>-0.85</v>
      </c>
      <c r="D39" s="5">
        <v>2679.18</v>
      </c>
      <c r="F39" s="5" t="s">
        <v>89</v>
      </c>
      <c r="G39" s="7" t="s">
        <v>5</v>
      </c>
      <c r="H39" s="5" t="s">
        <v>21</v>
      </c>
      <c r="I39" s="5" t="s">
        <v>23</v>
      </c>
      <c r="L39" s="5">
        <v>12</v>
      </c>
    </row>
    <row r="40" spans="1:12" x14ac:dyDescent="0.25">
      <c r="A40" s="6">
        <f t="shared" ca="1" si="0"/>
        <v>41895</v>
      </c>
      <c r="B40" s="5" t="s">
        <v>129</v>
      </c>
      <c r="C40" s="5">
        <v>-11.5</v>
      </c>
      <c r="D40" s="5">
        <v>3489.93</v>
      </c>
      <c r="F40" s="5" t="s">
        <v>77</v>
      </c>
      <c r="G40" s="7" t="s">
        <v>5</v>
      </c>
      <c r="H40" s="5" t="s">
        <v>9</v>
      </c>
      <c r="I40" s="5" t="s">
        <v>45</v>
      </c>
      <c r="L40" s="5">
        <v>10</v>
      </c>
    </row>
    <row r="41" spans="1:12" x14ac:dyDescent="0.25">
      <c r="A41" s="6">
        <f t="shared" ca="1" si="0"/>
        <v>41895</v>
      </c>
      <c r="B41" s="5" t="s">
        <v>130</v>
      </c>
      <c r="C41" s="5">
        <v>-10.79</v>
      </c>
      <c r="D41" s="5">
        <v>3457.14</v>
      </c>
      <c r="F41" s="5" t="s">
        <v>66</v>
      </c>
      <c r="G41" s="7" t="s">
        <v>5</v>
      </c>
      <c r="H41" s="5" t="s">
        <v>28</v>
      </c>
      <c r="I41" s="5" t="s">
        <v>87</v>
      </c>
      <c r="L41" s="5">
        <v>10</v>
      </c>
    </row>
    <row r="42" spans="1:12" x14ac:dyDescent="0.25">
      <c r="A42" s="6">
        <f t="shared" ca="1" si="0"/>
        <v>41895</v>
      </c>
      <c r="B42" s="5" t="s">
        <v>131</v>
      </c>
      <c r="C42" s="5">
        <v>-0.71</v>
      </c>
      <c r="D42" s="5">
        <v>3456.43</v>
      </c>
      <c r="F42" s="5" t="s">
        <v>89</v>
      </c>
      <c r="G42" s="7" t="s">
        <v>5</v>
      </c>
      <c r="H42" s="5" t="s">
        <v>21</v>
      </c>
      <c r="I42" s="5" t="s">
        <v>23</v>
      </c>
      <c r="L42" s="5">
        <v>10</v>
      </c>
    </row>
    <row r="43" spans="1:12" x14ac:dyDescent="0.25">
      <c r="A43" s="6">
        <f t="shared" ca="1" si="0"/>
        <v>41898</v>
      </c>
      <c r="B43" s="5" t="s">
        <v>132</v>
      </c>
      <c r="C43" s="5">
        <v>-6.47</v>
      </c>
      <c r="D43" s="5">
        <v>3360.94</v>
      </c>
      <c r="F43" s="5" t="s">
        <v>46</v>
      </c>
      <c r="G43" s="7" t="s">
        <v>5</v>
      </c>
      <c r="H43" s="5" t="s">
        <v>9</v>
      </c>
      <c r="I43" s="5" t="s">
        <v>37</v>
      </c>
      <c r="L43" s="5">
        <v>7</v>
      </c>
    </row>
    <row r="44" spans="1:12" x14ac:dyDescent="0.25">
      <c r="A44" s="6">
        <f t="shared" ca="1" si="0"/>
        <v>41898</v>
      </c>
      <c r="B44" s="5" t="s">
        <v>133</v>
      </c>
      <c r="C44" s="5">
        <v>-1.51</v>
      </c>
      <c r="D44" s="5">
        <v>3359.43</v>
      </c>
      <c r="F44" s="5" t="s">
        <v>89</v>
      </c>
      <c r="G44" s="7" t="s">
        <v>5</v>
      </c>
      <c r="H44" s="5" t="s">
        <v>21</v>
      </c>
      <c r="I44" s="5" t="s">
        <v>23</v>
      </c>
      <c r="L44" s="5">
        <v>7</v>
      </c>
    </row>
    <row r="45" spans="1:12" x14ac:dyDescent="0.25">
      <c r="A45" s="6">
        <f t="shared" ca="1" si="0"/>
        <v>41901</v>
      </c>
      <c r="B45" s="5" t="s">
        <v>134</v>
      </c>
      <c r="C45" s="5">
        <v>-178.03</v>
      </c>
      <c r="D45" s="5">
        <v>3128.01</v>
      </c>
      <c r="F45" s="5" t="s">
        <v>47</v>
      </c>
      <c r="G45" s="7" t="s">
        <v>5</v>
      </c>
      <c r="H45" s="5" t="s">
        <v>44</v>
      </c>
      <c r="I45" s="5" t="s">
        <v>43</v>
      </c>
      <c r="L45" s="5">
        <v>4</v>
      </c>
    </row>
    <row r="46" spans="1:12" x14ac:dyDescent="0.25">
      <c r="A46" s="6">
        <f t="shared" ca="1" si="0"/>
        <v>41901</v>
      </c>
      <c r="B46" s="5" t="s">
        <v>135</v>
      </c>
      <c r="C46" s="5">
        <v>-46.42</v>
      </c>
      <c r="D46" s="5">
        <v>3081.59</v>
      </c>
      <c r="F46" s="5" t="s">
        <v>67</v>
      </c>
      <c r="G46" s="7" t="s">
        <v>5</v>
      </c>
      <c r="H46" s="5" t="s">
        <v>44</v>
      </c>
      <c r="I46" s="5" t="s">
        <v>43</v>
      </c>
      <c r="L46" s="5">
        <v>4</v>
      </c>
    </row>
    <row r="47" spans="1:12" x14ac:dyDescent="0.25">
      <c r="A47" s="6">
        <f t="shared" ca="1" si="0"/>
        <v>41901</v>
      </c>
      <c r="B47" s="5" t="s">
        <v>135</v>
      </c>
      <c r="C47" s="5">
        <v>-33.47</v>
      </c>
      <c r="D47" s="5">
        <v>3048.12</v>
      </c>
      <c r="F47" s="5" t="s">
        <v>67</v>
      </c>
      <c r="G47" s="7" t="s">
        <v>5</v>
      </c>
      <c r="H47" s="5" t="s">
        <v>44</v>
      </c>
      <c r="I47" s="5" t="s">
        <v>43</v>
      </c>
      <c r="L47" s="5">
        <v>4</v>
      </c>
    </row>
    <row r="48" spans="1:12" x14ac:dyDescent="0.25">
      <c r="A48" s="6">
        <f t="shared" ca="1" si="0"/>
        <v>41901</v>
      </c>
      <c r="B48" s="5" t="s">
        <v>136</v>
      </c>
      <c r="C48" s="5">
        <v>-2.08</v>
      </c>
      <c r="D48" s="5">
        <v>3046.04</v>
      </c>
      <c r="F48" s="5" t="s">
        <v>89</v>
      </c>
      <c r="G48" s="7" t="s">
        <v>5</v>
      </c>
      <c r="H48" s="5" t="s">
        <v>21</v>
      </c>
      <c r="I48" s="5" t="s">
        <v>23</v>
      </c>
      <c r="L48" s="5">
        <v>4</v>
      </c>
    </row>
    <row r="49" spans="1:12" x14ac:dyDescent="0.25">
      <c r="A49" s="6">
        <f t="shared" ca="1" si="0"/>
        <v>41902</v>
      </c>
      <c r="B49" s="5" t="s">
        <v>137</v>
      </c>
      <c r="C49" s="5">
        <v>-5.42</v>
      </c>
      <c r="D49" s="5">
        <v>3793.84</v>
      </c>
      <c r="F49" s="5" t="s">
        <v>38</v>
      </c>
      <c r="G49" s="7" t="s">
        <v>5</v>
      </c>
      <c r="H49" s="5" t="s">
        <v>9</v>
      </c>
      <c r="I49" s="5" t="s">
        <v>37</v>
      </c>
      <c r="L49" s="5">
        <v>3</v>
      </c>
    </row>
    <row r="50" spans="1:12" x14ac:dyDescent="0.25">
      <c r="A50" s="6">
        <f t="shared" ca="1" si="0"/>
        <v>41902</v>
      </c>
      <c r="B50" s="5" t="s">
        <v>138</v>
      </c>
      <c r="C50" s="5">
        <v>-55.37</v>
      </c>
      <c r="D50" s="5">
        <v>3738.47</v>
      </c>
      <c r="F50" s="5" t="s">
        <v>68</v>
      </c>
      <c r="G50" s="7" t="s">
        <v>5</v>
      </c>
      <c r="H50" s="5" t="s">
        <v>18</v>
      </c>
      <c r="I50" s="5" t="s">
        <v>7</v>
      </c>
      <c r="L50" s="5">
        <v>3</v>
      </c>
    </row>
    <row r="51" spans="1:12" x14ac:dyDescent="0.25">
      <c r="A51" s="6">
        <f t="shared" ca="1" si="0"/>
        <v>41902</v>
      </c>
      <c r="B51" s="5" t="s">
        <v>138</v>
      </c>
      <c r="C51" s="5">
        <v>-26.21</v>
      </c>
      <c r="D51" s="5">
        <v>3712.26</v>
      </c>
      <c r="F51" s="5" t="s">
        <v>68</v>
      </c>
      <c r="G51" s="7" t="s">
        <v>5</v>
      </c>
      <c r="H51" s="5" t="s">
        <v>18</v>
      </c>
      <c r="I51" s="5" t="s">
        <v>7</v>
      </c>
      <c r="L51" s="5">
        <v>3</v>
      </c>
    </row>
    <row r="52" spans="1:12" x14ac:dyDescent="0.25">
      <c r="A52" s="6">
        <f t="shared" ca="1" si="0"/>
        <v>41902</v>
      </c>
      <c r="B52" s="5" t="s">
        <v>139</v>
      </c>
      <c r="C52" s="5">
        <v>-26.91</v>
      </c>
      <c r="D52" s="5">
        <v>3685.35</v>
      </c>
      <c r="F52" s="5" t="s">
        <v>22</v>
      </c>
      <c r="G52" s="7" t="s">
        <v>5</v>
      </c>
      <c r="H52" s="5" t="s">
        <v>9</v>
      </c>
      <c r="I52" s="5" t="s">
        <v>16</v>
      </c>
      <c r="L52" s="5">
        <v>3</v>
      </c>
    </row>
    <row r="53" spans="1:12" x14ac:dyDescent="0.25">
      <c r="A53" s="6">
        <f t="shared" ca="1" si="0"/>
        <v>41902</v>
      </c>
      <c r="B53" s="5" t="s">
        <v>140</v>
      </c>
      <c r="C53" s="5">
        <v>-2.09</v>
      </c>
      <c r="D53" s="5">
        <v>3583.26</v>
      </c>
      <c r="F53" s="5" t="s">
        <v>89</v>
      </c>
      <c r="G53" s="7" t="s">
        <v>5</v>
      </c>
      <c r="H53" s="5" t="s">
        <v>21</v>
      </c>
      <c r="I53" s="5" t="s">
        <v>23</v>
      </c>
      <c r="L53" s="5">
        <v>3</v>
      </c>
    </row>
    <row r="54" spans="1:12" x14ac:dyDescent="0.25">
      <c r="A54" s="6">
        <f t="shared" ca="1" si="0"/>
        <v>41905</v>
      </c>
      <c r="B54" s="5" t="s">
        <v>141</v>
      </c>
      <c r="C54" s="5">
        <v>-2.5</v>
      </c>
      <c r="D54" s="5">
        <v>3580.76</v>
      </c>
      <c r="F54" s="5" t="s">
        <v>76</v>
      </c>
      <c r="G54" s="7" t="s">
        <v>5</v>
      </c>
      <c r="H54" s="5" t="s">
        <v>44</v>
      </c>
      <c r="I54" s="5" t="s">
        <v>8</v>
      </c>
      <c r="L54" s="5">
        <v>0</v>
      </c>
    </row>
    <row r="55" spans="1:12" x14ac:dyDescent="0.25">
      <c r="A55" s="6">
        <f t="shared" ca="1" si="0"/>
        <v>41905</v>
      </c>
      <c r="B55" s="5" t="s">
        <v>142</v>
      </c>
      <c r="C55" s="5">
        <v>-5</v>
      </c>
      <c r="D55" s="5">
        <v>3575.76</v>
      </c>
      <c r="F55" s="5" t="s">
        <v>70</v>
      </c>
      <c r="G55" s="7" t="s">
        <v>5</v>
      </c>
      <c r="H55" s="5" t="s">
        <v>44</v>
      </c>
      <c r="I55" s="5" t="s">
        <v>69</v>
      </c>
      <c r="L55" s="5">
        <v>0</v>
      </c>
    </row>
    <row r="56" spans="1:12" x14ac:dyDescent="0.25">
      <c r="A56" s="6">
        <f ca="1">TODAY()-L56</f>
        <v>41905</v>
      </c>
      <c r="B56" s="5" t="s">
        <v>143</v>
      </c>
      <c r="C56" s="5">
        <v>-0.5</v>
      </c>
      <c r="D56" s="5">
        <v>3575.26</v>
      </c>
      <c r="F56" s="5" t="s">
        <v>89</v>
      </c>
      <c r="G56" s="7" t="s">
        <v>5</v>
      </c>
      <c r="H56" s="5" t="s">
        <v>21</v>
      </c>
      <c r="I56" s="5" t="s">
        <v>23</v>
      </c>
      <c r="L56" s="5">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Notes</vt:lpstr>
      <vt:lpstr>Charts</vt:lpstr>
      <vt:lpstr>Key</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dc:creator>
  <cp:lastModifiedBy>Michael</cp:lastModifiedBy>
  <dcterms:created xsi:type="dcterms:W3CDTF">2014-06-22T23:39:17Z</dcterms:created>
  <dcterms:modified xsi:type="dcterms:W3CDTF">2014-09-23T07:01:46Z</dcterms:modified>
</cp:coreProperties>
</file>